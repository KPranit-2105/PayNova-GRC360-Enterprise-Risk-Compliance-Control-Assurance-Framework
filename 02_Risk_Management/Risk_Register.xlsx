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31" customWidth="1" min="4" max="4"/>
    <col width="41" customWidth="1" min="5" max="5"/>
    <col width="46" customWidth="1" min="6" max="6"/>
    <col width="49" customWidth="1" min="7" max="7"/>
    <col width="31" customWidth="1" min="8" max="8"/>
    <col width="27" customWidth="1" min="9" max="9"/>
    <col width="26" customWidth="1" min="10" max="10"/>
    <col width="22" customWidth="1" min="11" max="11"/>
    <col width="23" customWidth="1" min="12" max="12"/>
    <col width="19" customWidth="1" min="13" max="13"/>
    <col width="23" customWidth="1" min="14" max="14"/>
    <col width="49" customWidth="1" min="15" max="15"/>
    <col width="32" customWidth="1" min="16" max="16"/>
    <col width="25" customWidth="1" min="17" max="17"/>
    <col width="23" customWidth="1" min="18" max="18"/>
    <col width="19" customWidth="1" min="19" max="19"/>
    <col width="23" customWidth="1" min="20" max="20"/>
    <col width="49" customWidth="1" min="21" max="21"/>
    <col width="18" customWidth="1" min="22" max="22"/>
    <col width="49" customWidth="1" min="23" max="23"/>
    <col width="15" customWidth="1" min="24" max="24"/>
    <col width="15" customWidth="1" min="25" max="25"/>
    <col width="20" customWidth="1" min="26" max="26"/>
  </cols>
  <sheetData>
    <row r="1" ht="28" customHeight="1">
      <c r="A1" s="1" t="inlineStr">
        <is>
          <t>Risk ID</t>
        </is>
      </c>
      <c r="B1" s="1" t="inlineStr">
        <is>
          <t>Risk Title</t>
        </is>
      </c>
      <c r="C1" s="1" t="inlineStr">
        <is>
          <t>Risk Description</t>
        </is>
      </c>
      <c r="D1" s="1" t="inlineStr">
        <is>
          <t>Business Process</t>
        </is>
      </c>
      <c r="E1" s="1" t="inlineStr">
        <is>
          <t>Asset</t>
        </is>
      </c>
      <c r="F1" s="1" t="inlineStr">
        <is>
          <t>Threat</t>
        </is>
      </c>
      <c r="G1" s="1" t="inlineStr">
        <is>
          <t>Vulnerability</t>
        </is>
      </c>
      <c r="H1" s="1" t="inlineStr">
        <is>
          <t>Risk Category</t>
        </is>
      </c>
      <c r="I1" s="1" t="inlineStr">
        <is>
          <t>Risk Owner</t>
        </is>
      </c>
      <c r="J1" s="1" t="inlineStr">
        <is>
          <t>Business Owner</t>
        </is>
      </c>
      <c r="K1" s="1" t="inlineStr">
        <is>
          <t>Department</t>
        </is>
      </c>
      <c r="L1" s="1" t="inlineStr">
        <is>
          <t>Inherent Likelihood</t>
        </is>
      </c>
      <c r="M1" s="1" t="inlineStr">
        <is>
          <t>Inherent Impact</t>
        </is>
      </c>
      <c r="N1" s="1" t="inlineStr">
        <is>
          <t>Inherent Risk Score</t>
        </is>
      </c>
      <c r="O1" s="1" t="inlineStr">
        <is>
          <t>Inherent Risk Rating</t>
        </is>
      </c>
      <c r="P1" s="1" t="inlineStr">
        <is>
          <t>Existing Controls</t>
        </is>
      </c>
      <c r="Q1" s="1" t="inlineStr">
        <is>
          <t>Control Effectiveness</t>
        </is>
      </c>
      <c r="R1" s="1" t="inlineStr">
        <is>
          <t>Residual Likelihood</t>
        </is>
      </c>
      <c r="S1" s="1" t="inlineStr">
        <is>
          <t>Residual Impact</t>
        </is>
      </c>
      <c r="T1" s="1" t="inlineStr">
        <is>
          <t>Residual Risk Score</t>
        </is>
      </c>
      <c r="U1" s="1" t="inlineStr">
        <is>
          <t>Residual Risk Rating</t>
        </is>
      </c>
      <c r="V1" s="1" t="inlineStr">
        <is>
          <t>Risk Treatment</t>
        </is>
      </c>
      <c r="W1" s="1" t="inlineStr">
        <is>
          <t>Treatment Plan</t>
        </is>
      </c>
      <c r="X1" s="1" t="inlineStr">
        <is>
          <t>Target Date</t>
        </is>
      </c>
      <c r="Y1" s="1" t="inlineStr">
        <is>
          <t>Risk Status</t>
        </is>
      </c>
      <c r="Z1" s="1" t="inlineStr">
        <is>
          <t>Review Frequency</t>
        </is>
      </c>
    </row>
    <row r="2">
      <c r="A2" s="2" t="inlineStr">
        <is>
          <t>RISK-001</t>
        </is>
      </c>
      <c r="B2" s="2" t="inlineStr">
        <is>
          <t>Unauthorized Access to Payment Gateway Database</t>
        </is>
      </c>
      <c r="C2" s="2" t="inlineStr">
        <is>
          <t>Unauthenticated or unauthorized malicious actors gain access to production PostgreSQL database containing transaction histories.</t>
        </is>
      </c>
      <c r="D2" s="2" t="inlineStr">
        <is>
          <t>Payment Settlement</t>
        </is>
      </c>
      <c r="E2" s="2" t="inlineStr">
        <is>
          <t>PostgreSQL Database</t>
        </is>
      </c>
      <c r="F2" s="2" t="inlineStr">
        <is>
          <t>External Cyber Attack / Account Compromise</t>
        </is>
      </c>
      <c r="G2" s="2" t="inlineStr">
        <is>
          <t>Weak IAM DB authentication &amp; missing network isolation</t>
        </is>
      </c>
      <c r="H2" s="2" t="inlineStr">
        <is>
          <t>Cybersecurity</t>
        </is>
      </c>
      <c r="I2" s="2" t="inlineStr">
        <is>
          <t>CISO</t>
        </is>
      </c>
      <c r="J2" s="2" t="inlineStr">
        <is>
          <t>Head of Engineering</t>
        </is>
      </c>
      <c r="K2" s="2" t="inlineStr">
        <is>
          <t>Security</t>
        </is>
      </c>
      <c r="L2" s="2" t="n">
        <v>5</v>
      </c>
      <c r="M2" s="2" t="n">
        <v>5</v>
      </c>
      <c r="N2" s="2">
        <f>L2*M2</f>
        <v/>
      </c>
      <c r="O2" s="2">
        <f>IF(N2&lt;=4,"Low",IF(N2&lt;=9,"Medium",IF(N2&lt;=16,"High","Critical")))</f>
        <v/>
      </c>
      <c r="P2" s="2" t="inlineStr">
        <is>
          <t>CTRL-001, CTRL-008, CTRL-040</t>
        </is>
      </c>
      <c r="Q2" s="2" t="inlineStr">
        <is>
          <t>Partially Effective</t>
        </is>
      </c>
      <c r="R2" s="2" t="n">
        <v>3</v>
      </c>
      <c r="S2" s="2" t="n">
        <v>4</v>
      </c>
      <c r="T2" s="2">
        <f>R2*S2</f>
        <v/>
      </c>
      <c r="U2" s="2">
        <f>IF(T2&lt;=4,"Low",IF(T2&lt;=9,"Medium",IF(T2&lt;=16,"High","Critical")))</f>
        <v/>
      </c>
      <c r="V2" s="2" t="inlineStr">
        <is>
          <t>Mitigate</t>
        </is>
      </c>
      <c r="W2" s="2" t="inlineStr">
        <is>
          <t>Implement AWS IAM DB authentication, DB subnet isolation, and automated rotation of DB master credentials via HashiCorp Vault.</t>
        </is>
      </c>
      <c r="X2" s="2" t="inlineStr">
        <is>
          <t>2026-09-30</t>
        </is>
      </c>
      <c r="Y2" s="2" t="inlineStr">
        <is>
          <t>Open</t>
        </is>
      </c>
      <c r="Z2" s="2" t="inlineStr">
        <is>
          <t>Quarterly</t>
        </is>
      </c>
    </row>
    <row r="3">
      <c r="A3" s="2" t="inlineStr">
        <is>
          <t>RISK-002</t>
        </is>
      </c>
      <c r="B3" s="2" t="inlineStr">
        <is>
          <t>Privilege Escalation via Kubernetes Cluster Admin Roles</t>
        </is>
      </c>
      <c r="C3" s="2" t="inlineStr">
        <is>
          <t>Developers or attackers exploit overly permissive ClusterRoleBindings to elevate privileges to cluster-admin in production EKS.</t>
        </is>
      </c>
      <c r="D3" s="2" t="inlineStr">
        <is>
          <t>Container Orchestration</t>
        </is>
      </c>
      <c r="E3" s="2" t="inlineStr">
        <is>
          <t>EKS Kubernetes Cluster</t>
        </is>
      </c>
      <c r="F3" s="2" t="inlineStr">
        <is>
          <t>Insider Threat / Privilege Abuse</t>
        </is>
      </c>
      <c r="G3" s="2" t="inlineStr">
        <is>
          <t>Overly permissive RBAC configurations &amp; default service account tokens mounted</t>
        </is>
      </c>
      <c r="H3" s="2" t="inlineStr">
        <is>
          <t>Cybersecurity</t>
        </is>
      </c>
      <c r="I3" s="2" t="inlineStr">
        <is>
          <t>Head of Infrastructure</t>
        </is>
      </c>
      <c r="J3" s="2" t="inlineStr">
        <is>
          <t>VP Engineering</t>
        </is>
      </c>
      <c r="K3" s="2" t="inlineStr">
        <is>
          <t>DevOps</t>
        </is>
      </c>
      <c r="L3" s="2" t="n">
        <v>4</v>
      </c>
      <c r="M3" s="2" t="n">
        <v>5</v>
      </c>
      <c r="N3" s="2">
        <f>L3*M3</f>
        <v/>
      </c>
      <c r="O3" s="2">
        <f>IF(N3&lt;=4,"Low",IF(N3&lt;=9,"Medium",IF(N3&lt;=16,"High","Critical")))</f>
        <v/>
      </c>
      <c r="P3" s="2" t="inlineStr">
        <is>
          <t>CTRL-004, CTRL-044</t>
        </is>
      </c>
      <c r="Q3" s="2" t="inlineStr">
        <is>
          <t>Ineffective</t>
        </is>
      </c>
      <c r="R3" s="2" t="n">
        <v>3</v>
      </c>
      <c r="S3" s="2" t="n">
        <v>4</v>
      </c>
      <c r="T3" s="2">
        <f>R3*S3</f>
        <v/>
      </c>
      <c r="U3" s="2">
        <f>IF(T3&lt;=4,"Low",IF(T3&lt;=9,"Medium",IF(T3&lt;=16,"High","Critical")))</f>
        <v/>
      </c>
      <c r="V3" s="2" t="inlineStr">
        <is>
          <t>Mitigate</t>
        </is>
      </c>
      <c r="W3" s="2" t="inlineStr">
        <is>
          <t>Enforce strict RBAC least-privilege, integrate AWS IAM Roles for Service Accounts (IRSA), and deploy Kyverno policy engine.</t>
        </is>
      </c>
      <c r="X3" s="2" t="inlineStr">
        <is>
          <t>2026-10-15</t>
        </is>
      </c>
      <c r="Y3" s="2" t="inlineStr">
        <is>
          <t>In Progress</t>
        </is>
      </c>
      <c r="Z3" s="2" t="inlineStr">
        <is>
          <t>Quarterly</t>
        </is>
      </c>
    </row>
    <row r="4">
      <c r="A4" s="2" t="inlineStr">
        <is>
          <t>RISK-003</t>
        </is>
      </c>
      <c r="B4" s="2" t="inlineStr">
        <is>
          <t>Credential Compromise via Phishing targeting FinTech Support Ops</t>
        </is>
      </c>
      <c r="C4" s="2" t="inlineStr">
        <is>
          <t>Support personnel credentials stolen via spear-phishing, enabling unauthorized access to merchant administration console.</t>
        </is>
      </c>
      <c r="D4" s="2" t="inlineStr">
        <is>
          <t>Customer Support Operations</t>
        </is>
      </c>
      <c r="E4" s="2" t="inlineStr">
        <is>
          <t>Merchant Admin Portal</t>
        </is>
      </c>
      <c r="F4" s="2" t="inlineStr">
        <is>
          <t>Social Engineering / Spear Phishing</t>
        </is>
      </c>
      <c r="G4" s="2" t="inlineStr">
        <is>
          <t>Lack of FIDO2 WebAuthn hardware keys &amp; single-factor legacy fallbacks</t>
        </is>
      </c>
      <c r="H4" s="2" t="inlineStr">
        <is>
          <t>Cybersecurity</t>
        </is>
      </c>
      <c r="I4" s="2" t="inlineStr">
        <is>
          <t>CISO</t>
        </is>
      </c>
      <c r="J4" s="2" t="inlineStr">
        <is>
          <t>Head of Support</t>
        </is>
      </c>
      <c r="K4" s="2" t="inlineStr">
        <is>
          <t>Operations</t>
        </is>
      </c>
      <c r="L4" s="2" t="n">
        <v>5</v>
      </c>
      <c r="M4" s="2" t="n">
        <v>4</v>
      </c>
      <c r="N4" s="2">
        <f>L4*M4</f>
        <v/>
      </c>
      <c r="O4" s="2">
        <f>IF(N4&lt;=4,"Low",IF(N4&lt;=9,"Medium",IF(N4&lt;=16,"High","Critical")))</f>
        <v/>
      </c>
      <c r="P4" s="2" t="inlineStr">
        <is>
          <t>CTRL-001, CTRL-047</t>
        </is>
      </c>
      <c r="Q4" s="2" t="inlineStr">
        <is>
          <t>Partially Effective</t>
        </is>
      </c>
      <c r="R4" s="2" t="n">
        <v>2</v>
      </c>
      <c r="S4" s="2" t="n">
        <v>4</v>
      </c>
      <c r="T4" s="2">
        <f>R4*S4</f>
        <v/>
      </c>
      <c r="U4" s="2">
        <f>IF(T4&lt;=4,"Low",IF(T4&lt;=9,"Medium",IF(T4&lt;=16,"High","Critical")))</f>
        <v/>
      </c>
      <c r="V4" s="2" t="inlineStr">
        <is>
          <t>Mitigate</t>
        </is>
      </c>
      <c r="W4" s="2" t="inlineStr">
        <is>
          <t>Mandate YubiKey hardware tokens for support personnel and implement IP-whitelisted conditional access.</t>
        </is>
      </c>
      <c r="X4" s="2" t="inlineStr">
        <is>
          <t>2026-09-15</t>
        </is>
      </c>
      <c r="Y4" s="2" t="inlineStr">
        <is>
          <t>In Progress</t>
        </is>
      </c>
      <c r="Z4" s="2" t="inlineStr">
        <is>
          <t>Quarterly</t>
        </is>
      </c>
    </row>
    <row r="5">
      <c r="A5" s="2" t="inlineStr">
        <is>
          <t>RISK-004</t>
        </is>
      </c>
      <c r="B5" s="2" t="inlineStr">
        <is>
          <t>Spear Phishing targeting Treasury &amp; Finance Executives</t>
        </is>
      </c>
      <c r="C5" s="2" t="inlineStr">
        <is>
          <t>Executive email compromise leading to fraudulent wire transfers or authorized bank settlement manipulation.</t>
        </is>
      </c>
      <c r="D5" s="2" t="inlineStr">
        <is>
          <t>Financial Treasury</t>
        </is>
      </c>
      <c r="E5" s="2" t="inlineStr">
        <is>
          <t>Corporate Email / Banking Portal</t>
        </is>
      </c>
      <c r="F5" s="2" t="inlineStr">
        <is>
          <t>Business Email Compromise (BEC)</t>
        </is>
      </c>
      <c r="G5" s="2" t="inlineStr">
        <is>
          <t>Inadequate DMARC enforcement &amp; lack of dual-authorization on wire transfers</t>
        </is>
      </c>
      <c r="H5" s="2" t="inlineStr">
        <is>
          <t>Cybersecurity</t>
        </is>
      </c>
      <c r="I5" s="2" t="inlineStr">
        <is>
          <t>CFO</t>
        </is>
      </c>
      <c r="J5" s="2" t="inlineStr">
        <is>
          <t>Head of Finance</t>
        </is>
      </c>
      <c r="K5" s="2" t="inlineStr">
        <is>
          <t>Finance</t>
        </is>
      </c>
      <c r="L5" s="2" t="n">
        <v>4</v>
      </c>
      <c r="M5" s="2" t="n">
        <v>5</v>
      </c>
      <c r="N5" s="2">
        <f>L5*M5</f>
        <v/>
      </c>
      <c r="O5" s="2">
        <f>IF(N5&lt;=4,"Low",IF(N5&lt;=9,"Medium",IF(N5&lt;=16,"High","Critical")))</f>
        <v/>
      </c>
      <c r="P5" s="2" t="inlineStr">
        <is>
          <t>CTRL-047, CTRL-055</t>
        </is>
      </c>
      <c r="Q5" s="2" t="inlineStr">
        <is>
          <t>Partially Effective</t>
        </is>
      </c>
      <c r="R5" s="2" t="n">
        <v>2</v>
      </c>
      <c r="S5" s="2" t="n">
        <v>4</v>
      </c>
      <c r="T5" s="2">
        <f>R5*S5</f>
        <v/>
      </c>
      <c r="U5" s="2">
        <f>IF(T5&lt;=4,"Low",IF(T5&lt;=9,"Medium",IF(T5&lt;=16,"High","Critical")))</f>
        <v/>
      </c>
      <c r="V5" s="2" t="inlineStr">
        <is>
          <t>Mitigate</t>
        </is>
      </c>
      <c r="W5" s="2" t="inlineStr">
        <is>
          <t>Enforce DMARC p=reject, implement dual-custody approval on all outbound wire transfers over ₹500,000.</t>
        </is>
      </c>
      <c r="X5" s="2" t="inlineStr">
        <is>
          <t>2026-08-31</t>
        </is>
      </c>
      <c r="Y5" s="2" t="inlineStr">
        <is>
          <t>In Progress</t>
        </is>
      </c>
      <c r="Z5" s="2" t="inlineStr">
        <is>
          <t>Monthly</t>
        </is>
      </c>
    </row>
    <row r="6">
      <c r="A6" s="2" t="inlineStr">
        <is>
          <t>RISK-005</t>
        </is>
      </c>
      <c r="B6" s="2" t="inlineStr">
        <is>
          <t>Malware / Ransomware Infection on Operations Endpoints</t>
        </is>
      </c>
      <c r="C6" s="2" t="inlineStr">
        <is>
          <t>Endpoint workstation infected via malicious email attachment or drive-by download, lateral movement to dev environment.</t>
        </is>
      </c>
      <c r="D6" s="2" t="inlineStr">
        <is>
          <t>Corporate IT Operations</t>
        </is>
      </c>
      <c r="E6" s="2" t="inlineStr">
        <is>
          <t>Employee Workstations</t>
        </is>
      </c>
      <c r="F6" s="2" t="inlineStr">
        <is>
          <t>Ransomware / Malware Outbreak</t>
        </is>
      </c>
      <c r="G6" s="2" t="inlineStr">
        <is>
          <t>Outdated EDR agent policies &amp; local administrator rights on employee laptops</t>
        </is>
      </c>
      <c r="H6" s="2" t="inlineStr">
        <is>
          <t>Cybersecurity</t>
        </is>
      </c>
      <c r="I6" s="2" t="inlineStr">
        <is>
          <t>Head of IT</t>
        </is>
      </c>
      <c r="J6" s="2" t="inlineStr">
        <is>
          <t>CISO</t>
        </is>
      </c>
      <c r="K6" s="2" t="inlineStr">
        <is>
          <t>IT Ops</t>
        </is>
      </c>
      <c r="L6" s="2" t="n">
        <v>4</v>
      </c>
      <c r="M6" s="2" t="n">
        <v>4</v>
      </c>
      <c r="N6" s="2">
        <f>L6*M6</f>
        <v/>
      </c>
      <c r="O6" s="2">
        <f>IF(N6&lt;=4,"Low",IF(N6&lt;=9,"Medium",IF(N6&lt;=16,"High","Critical")))</f>
        <v/>
      </c>
      <c r="P6" s="2" t="inlineStr">
        <is>
          <t>CTRL-052, CTRL-015</t>
        </is>
      </c>
      <c r="Q6" s="2" t="inlineStr">
        <is>
          <t>Effective</t>
        </is>
      </c>
      <c r="R6" s="2" t="n">
        <v>2</v>
      </c>
      <c r="S6" s="2" t="n">
        <v>3</v>
      </c>
      <c r="T6" s="2">
        <f>R6*S6</f>
        <v/>
      </c>
      <c r="U6" s="2">
        <f>IF(T6&lt;=4,"Low",IF(T6&lt;=9,"Medium",IF(T6&lt;=16,"High","Critical")))</f>
        <v/>
      </c>
      <c r="V6" s="2" t="inlineStr">
        <is>
          <t>Mitigate</t>
        </is>
      </c>
      <c r="W6" s="2" t="inlineStr">
        <is>
          <t>Deploy CrowdStrike Falcon EDR across 100% of endpoints and enforce zero-local-admin policy via Intune.</t>
        </is>
      </c>
      <c r="X6" s="2" t="inlineStr">
        <is>
          <t>2026-10-31</t>
        </is>
      </c>
      <c r="Y6" s="2" t="inlineStr">
        <is>
          <t>Open</t>
        </is>
      </c>
      <c r="Z6" s="2" t="inlineStr">
        <is>
          <t>Quarterly</t>
        </is>
      </c>
    </row>
    <row r="7">
      <c r="A7" s="2" t="inlineStr">
        <is>
          <t>RISK-006</t>
        </is>
      </c>
      <c r="B7" s="2" t="inlineStr">
        <is>
          <t>Insider Threat Data Theft prior to Employee Separation</t>
        </is>
      </c>
      <c r="C7" s="2" t="inlineStr">
        <is>
          <t>Departing employee exfiltrates sensitive merchant lists, user PII, or API keys prior to HR offboarding.</t>
        </is>
      </c>
      <c r="D7" s="2" t="inlineStr">
        <is>
          <t>Human Resources</t>
        </is>
      </c>
      <c r="E7" s="2" t="inlineStr">
        <is>
          <t>Customer &amp; Merchant PII</t>
        </is>
      </c>
      <c r="F7" s="2" t="inlineStr">
        <is>
          <t>Malicious Insider</t>
        </is>
      </c>
      <c r="G7" s="2" t="inlineStr">
        <is>
          <t>Delayed IAM deprovisioning post-resignation &amp; lack of Endpoint DLP controls</t>
        </is>
      </c>
      <c r="H7" s="2" t="inlineStr">
        <is>
          <t>Cybersecurity</t>
        </is>
      </c>
      <c r="I7" s="2" t="inlineStr">
        <is>
          <t>Head of HR</t>
        </is>
      </c>
      <c r="J7" s="2" t="inlineStr">
        <is>
          <t>CISO</t>
        </is>
      </c>
      <c r="K7" s="2" t="inlineStr">
        <is>
          <t>HR / Security</t>
        </is>
      </c>
      <c r="L7" s="2" t="n">
        <v>4</v>
      </c>
      <c r="M7" s="2" t="n">
        <v>4</v>
      </c>
      <c r="N7" s="2">
        <f>L7*M7</f>
        <v/>
      </c>
      <c r="O7" s="2">
        <f>IF(N7&lt;=4,"Low",IF(N7&lt;=9,"Medium",IF(N7&lt;=16,"High","Critical")))</f>
        <v/>
      </c>
      <c r="P7" s="2" t="inlineStr">
        <is>
          <t>CTRL-005, CTRL-053</t>
        </is>
      </c>
      <c r="Q7" s="2" t="inlineStr">
        <is>
          <t>Partially Effective</t>
        </is>
      </c>
      <c r="R7" s="2" t="n">
        <v>2</v>
      </c>
      <c r="S7" s="2" t="n">
        <v>3</v>
      </c>
      <c r="T7" s="2">
        <f>R7*S7</f>
        <v/>
      </c>
      <c r="U7" s="2">
        <f>IF(T7&lt;=4,"Low",IF(T7&lt;=9,"Medium",IF(T7&lt;=16,"High","Critical")))</f>
        <v/>
      </c>
      <c r="V7" s="2" t="inlineStr">
        <is>
          <t>Mitigate</t>
        </is>
      </c>
      <c r="W7" s="2" t="inlineStr">
        <is>
          <t>Automate HRIS to Okta/AWS IAM deprovisioning workflow and enforce Endpoint DLP file transfer blocks.</t>
        </is>
      </c>
      <c r="X7" s="2" t="inlineStr">
        <is>
          <t>2026-09-30</t>
        </is>
      </c>
      <c r="Y7" s="2" t="inlineStr">
        <is>
          <t>In Progress</t>
        </is>
      </c>
      <c r="Z7" s="2" t="inlineStr">
        <is>
          <t>Quarterly</t>
        </is>
      </c>
    </row>
    <row r="8">
      <c r="A8" s="2" t="inlineStr">
        <is>
          <t>RISK-007</t>
        </is>
      </c>
      <c r="B8" s="2" t="inlineStr">
        <is>
          <t>Data Exfiltration via Compromised CI/CD Pipeline Secrets</t>
        </is>
      </c>
      <c r="C8" s="2" t="inlineStr">
        <is>
          <t>Attackers extract production AWS secret keys hardcoded in GitHub Actions repository secrets or build logs.</t>
        </is>
      </c>
      <c r="D8" s="2" t="inlineStr">
        <is>
          <t>Software Delivery</t>
        </is>
      </c>
      <c r="E8" s="2" t="inlineStr">
        <is>
          <t>CI/CD Pipelines / AWS Secrets</t>
        </is>
      </c>
      <c r="F8" s="2" t="inlineStr">
        <is>
          <t>Supply Chain Attack / Credential Theft</t>
        </is>
      </c>
      <c r="G8" s="2" t="inlineStr">
        <is>
          <t>Plaintext secrets stored in CI environment variables &amp; broad AWS IAM permissions</t>
        </is>
      </c>
      <c r="H8" s="2" t="inlineStr">
        <is>
          <t>Cybersecurity</t>
        </is>
      </c>
      <c r="I8" s="2" t="inlineStr">
        <is>
          <t>Head of AppSec</t>
        </is>
      </c>
      <c r="J8" s="2" t="inlineStr">
        <is>
          <t>VP Engineering</t>
        </is>
      </c>
      <c r="K8" s="2" t="inlineStr">
        <is>
          <t>DevSecOps</t>
        </is>
      </c>
      <c r="L8" s="2" t="n">
        <v>5</v>
      </c>
      <c r="M8" s="2" t="n">
        <v>5</v>
      </c>
      <c r="N8" s="2">
        <f>L8*M8</f>
        <v/>
      </c>
      <c r="O8" s="2">
        <f>IF(N8&lt;=4,"Low",IF(N8&lt;=9,"Medium",IF(N8&lt;=16,"High","Critical")))</f>
        <v/>
      </c>
      <c r="P8" s="2" t="inlineStr">
        <is>
          <t>CTRL-039, CTRL-034</t>
        </is>
      </c>
      <c r="Q8" s="2" t="inlineStr">
        <is>
          <t>Ineffective</t>
        </is>
      </c>
      <c r="R8" s="2" t="n">
        <v>2</v>
      </c>
      <c r="S8" s="2" t="n">
        <v>4</v>
      </c>
      <c r="T8" s="2">
        <f>R8*S8</f>
        <v/>
      </c>
      <c r="U8" s="2">
        <f>IF(T8&lt;=4,"Low",IF(T8&lt;=9,"Medium",IF(T8&lt;=16,"High","Critical")))</f>
        <v/>
      </c>
      <c r="V8" s="2" t="inlineStr">
        <is>
          <t>Mitigate</t>
        </is>
      </c>
      <c r="W8" s="2" t="inlineStr">
        <is>
          <t>Migrate all pipeline secrets to HashiCorp Vault with dynamic short-lived OIDC tokens for AWS.</t>
        </is>
      </c>
      <c r="X8" s="2" t="inlineStr">
        <is>
          <t>2026-09-15</t>
        </is>
      </c>
      <c r="Y8" s="2" t="inlineStr">
        <is>
          <t>In Progress</t>
        </is>
      </c>
      <c r="Z8" s="2" t="inlineStr">
        <is>
          <t>Quarterly</t>
        </is>
      </c>
    </row>
    <row r="9">
      <c r="A9" s="2" t="inlineStr">
        <is>
          <t>RISK-008</t>
        </is>
      </c>
      <c r="B9" s="2" t="inlineStr">
        <is>
          <t>Unauthorized API Access via Broken Object Level Authorization (BOLA)</t>
        </is>
      </c>
      <c r="C9" s="2" t="inlineStr">
        <is>
          <t>Attacker manipulates transaction ID in API request headers to fetch other users' bank account details.</t>
        </is>
      </c>
      <c r="D9" s="2" t="inlineStr">
        <is>
          <t>UPI Payment API</t>
        </is>
      </c>
      <c r="E9" s="2" t="inlineStr">
        <is>
          <t>Core Payment Microservice</t>
        </is>
      </c>
      <c r="F9" s="2" t="inlineStr">
        <is>
          <t>API Abuse / BOLA Attack</t>
        </is>
      </c>
      <c r="G9" s="2" t="inlineStr">
        <is>
          <t>Missing server-side ownership authorization check on /api/v1/account/{id}/details</t>
        </is>
      </c>
      <c r="H9" s="2" t="inlineStr">
        <is>
          <t>Application Security</t>
        </is>
      </c>
      <c r="I9" s="2" t="inlineStr">
        <is>
          <t>Head of AppSec</t>
        </is>
      </c>
      <c r="J9" s="2" t="inlineStr">
        <is>
          <t>Head of Core Payments</t>
        </is>
      </c>
      <c r="K9" s="2" t="inlineStr">
        <is>
          <t>Product Dev</t>
        </is>
      </c>
      <c r="L9" s="2" t="n">
        <v>5</v>
      </c>
      <c r="M9" s="2" t="n">
        <v>5</v>
      </c>
      <c r="N9" s="2">
        <f>L9*M9</f>
        <v/>
      </c>
      <c r="O9" s="2">
        <f>IF(N9&lt;=4,"Low",IF(N9&lt;=9,"Medium",IF(N9&lt;=16,"High","Critical")))</f>
        <v/>
      </c>
      <c r="P9" s="2" t="inlineStr">
        <is>
          <t>CTRL-038, CTRL-036</t>
        </is>
      </c>
      <c r="Q9" s="2" t="inlineStr">
        <is>
          <t>Ineffective</t>
        </is>
      </c>
      <c r="R9" s="2" t="n">
        <v>2</v>
      </c>
      <c r="S9" s="2" t="n">
        <v>4</v>
      </c>
      <c r="T9" s="2">
        <f>R9*S9</f>
        <v/>
      </c>
      <c r="U9" s="2">
        <f>IF(T9&lt;=4,"Low",IF(T9&lt;=9,"Medium",IF(T9&lt;=16,"High","Critical")))</f>
        <v/>
      </c>
      <c r="V9" s="2" t="inlineStr">
        <is>
          <t>Mitigate</t>
        </is>
      </c>
      <c r="W9" s="2" t="inlineStr">
        <is>
          <t>Deploy API gateway authorization filter and mandate SAST/DAST BOLA checks in CI/CD pipeline.</t>
        </is>
      </c>
      <c r="X9" s="2" t="inlineStr">
        <is>
          <t>2026-09-01</t>
        </is>
      </c>
      <c r="Y9" s="2" t="inlineStr">
        <is>
          <t>In Progress</t>
        </is>
      </c>
      <c r="Z9" s="2" t="inlineStr">
        <is>
          <t>Monthly</t>
        </is>
      </c>
    </row>
    <row r="10">
      <c r="A10" s="2" t="inlineStr">
        <is>
          <t>RISK-009</t>
        </is>
      </c>
      <c r="B10" s="2" t="inlineStr">
        <is>
          <t>Broken Authentication on Mobile Banking API</t>
        </is>
      </c>
      <c r="C10" s="2" t="inlineStr">
        <is>
          <t>Attacker bypasses mobile OTP authentication via response manipulation or brute-forcing rate-limit gaps.</t>
        </is>
      </c>
      <c r="D10" s="2" t="inlineStr">
        <is>
          <t>Mobile Banking</t>
        </is>
      </c>
      <c r="E10" s="2" t="inlineStr">
        <is>
          <t>Auth Gateway Microservice</t>
        </is>
      </c>
      <c r="F10" s="2" t="inlineStr">
        <is>
          <t>Authentication Bypass</t>
        </is>
      </c>
      <c r="G10" s="2" t="inlineStr">
        <is>
          <t>Lack of strict server-side OTP validation session binding and missing rate limiters</t>
        </is>
      </c>
      <c r="H10" s="2" t="inlineStr">
        <is>
          <t>Application Security</t>
        </is>
      </c>
      <c r="I10" s="2" t="inlineStr">
        <is>
          <t>Head of AppSec</t>
        </is>
      </c>
      <c r="J10" s="2" t="inlineStr">
        <is>
          <t>Head of Mobile</t>
        </is>
      </c>
      <c r="K10" s="2" t="inlineStr">
        <is>
          <t>Engineering</t>
        </is>
      </c>
      <c r="L10" s="2" t="n">
        <v>4</v>
      </c>
      <c r="M10" s="2" t="n">
        <v>5</v>
      </c>
      <c r="N10" s="2">
        <f>L10*M10</f>
        <v/>
      </c>
      <c r="O10" s="2">
        <f>IF(N10&lt;=4,"Low",IF(N10&lt;=9,"Medium",IF(N10&lt;=16,"High","Critical")))</f>
        <v/>
      </c>
      <c r="P10" s="2" t="inlineStr">
        <is>
          <t>CTRL-001, CTRL-038</t>
        </is>
      </c>
      <c r="Q10" s="2" t="inlineStr">
        <is>
          <t>Partially Effective</t>
        </is>
      </c>
      <c r="R10" s="2" t="n">
        <v>2</v>
      </c>
      <c r="S10" s="2" t="n">
        <v>3</v>
      </c>
      <c r="T10" s="2">
        <f>R10*S10</f>
        <v/>
      </c>
      <c r="U10" s="2">
        <f>IF(T10&lt;=4,"Low",IF(T10&lt;=9,"Medium",IF(T10&lt;=16,"High","Critical")))</f>
        <v/>
      </c>
      <c r="V10" s="2" t="inlineStr">
        <is>
          <t>Mitigate</t>
        </is>
      </c>
      <c r="W10" s="2" t="inlineStr">
        <is>
          <t>Implement cryptographically signed JWT auth tokens, Redis rate-limiting (3 attempts/min), and app shielding.</t>
        </is>
      </c>
      <c r="X10" s="2" t="inlineStr">
        <is>
          <t>2026-09-20</t>
        </is>
      </c>
      <c r="Y10" s="2" t="inlineStr">
        <is>
          <t>In Progress</t>
        </is>
      </c>
      <c r="Z10" s="2" t="inlineStr">
        <is>
          <t>Monthly</t>
        </is>
      </c>
    </row>
    <row r="11">
      <c r="A11" s="2" t="inlineStr">
        <is>
          <t>RISK-010</t>
        </is>
      </c>
      <c r="B11" s="2" t="inlineStr">
        <is>
          <t>SQL Injection Vulnerability in Back-Office Reporting Module</t>
        </is>
      </c>
      <c r="C11" s="2" t="inlineStr">
        <is>
          <t>Malicious SQL query injected into custom search parameter, exposing entire PostgreSQL merchant table.</t>
        </is>
      </c>
      <c r="D11" s="2" t="inlineStr">
        <is>
          <t>Financial Reporting</t>
        </is>
      </c>
      <c r="E11" s="2" t="inlineStr">
        <is>
          <t>PostgreSQL Database</t>
        </is>
      </c>
      <c r="F11" s="2" t="inlineStr">
        <is>
          <t>Database Injection Attack</t>
        </is>
      </c>
      <c r="G11" s="2" t="inlineStr">
        <is>
          <t>Unsanitized user inputs concatenated directly into dynamic SQL queries</t>
        </is>
      </c>
      <c r="H11" s="2" t="inlineStr">
        <is>
          <t>Application Security</t>
        </is>
      </c>
      <c r="I11" s="2" t="inlineStr">
        <is>
          <t>Head of AppSec</t>
        </is>
      </c>
      <c r="J11" s="2" t="inlineStr">
        <is>
          <t>Head of Backend</t>
        </is>
      </c>
      <c r="K11" s="2" t="inlineStr">
        <is>
          <t>Engineering</t>
        </is>
      </c>
      <c r="L11" s="2" t="n">
        <v>4</v>
      </c>
      <c r="M11" s="2" t="n">
        <v>5</v>
      </c>
      <c r="N11" s="2">
        <f>L11*M11</f>
        <v/>
      </c>
      <c r="O11" s="2">
        <f>IF(N11&lt;=4,"Low",IF(N11&lt;=9,"Medium",IF(N11&lt;=16,"High","Critical")))</f>
        <v/>
      </c>
      <c r="P11" s="2" t="inlineStr">
        <is>
          <t>CTRL-034, CTRL-035</t>
        </is>
      </c>
      <c r="Q11" s="2" t="inlineStr">
        <is>
          <t>Effective</t>
        </is>
      </c>
      <c r="R11" s="2" t="n">
        <v>1</v>
      </c>
      <c r="S11" s="2" t="n">
        <v>3</v>
      </c>
      <c r="T11" s="2">
        <f>R11*S11</f>
        <v/>
      </c>
      <c r="U11" s="2">
        <f>IF(T11&lt;=4,"Low",IF(T11&lt;=9,"Medium",IF(T11&lt;=16,"High","Critical")))</f>
        <v/>
      </c>
      <c r="V11" s="2" t="inlineStr">
        <is>
          <t>Mitigate</t>
        </is>
      </c>
      <c r="W11" s="2" t="inlineStr">
        <is>
          <t>Refactor reporting service to use parameterized prepared statements and ORM abstraction.</t>
        </is>
      </c>
      <c r="X11" s="2" t="inlineStr">
        <is>
          <t>2026-08-31</t>
        </is>
      </c>
      <c r="Y11" s="2" t="inlineStr">
        <is>
          <t>In Progress</t>
        </is>
      </c>
      <c r="Z11" s="2" t="inlineStr">
        <is>
          <t>Quarterly</t>
        </is>
      </c>
    </row>
    <row r="12">
      <c r="A12" s="2" t="inlineStr">
        <is>
          <t>RISK-011</t>
        </is>
      </c>
      <c r="B12" s="2" t="inlineStr">
        <is>
          <t>Broken Function Level Authorization (BFLA) in Merchant Portal</t>
        </is>
      </c>
      <c r="C12" s="2" t="inlineStr">
        <is>
          <t>Standard merchant user accesses admin refund APIs by altering endpoint URI to /admin/v1/refund/execute.</t>
        </is>
      </c>
      <c r="D12" s="2" t="inlineStr">
        <is>
          <t>Merchant Management</t>
        </is>
      </c>
      <c r="E12" s="2" t="inlineStr">
        <is>
          <t>Merchant API Gateway</t>
        </is>
      </c>
      <c r="F12" s="2" t="inlineStr">
        <is>
          <t>Privilege Bypass</t>
        </is>
      </c>
      <c r="G12" s="2" t="inlineStr">
        <is>
          <t>Missing role-based middleware authorization on administrative endpoint routes</t>
        </is>
      </c>
      <c r="H12" s="2" t="inlineStr">
        <is>
          <t>Application Security</t>
        </is>
      </c>
      <c r="I12" s="2" t="inlineStr">
        <is>
          <t>Head of AppSec</t>
        </is>
      </c>
      <c r="J12" s="2" t="inlineStr">
        <is>
          <t>Head of Merchant Ops</t>
        </is>
      </c>
      <c r="K12" s="2" t="inlineStr">
        <is>
          <t>Engineering</t>
        </is>
      </c>
      <c r="L12" s="2" t="n">
        <v>4</v>
      </c>
      <c r="M12" s="2" t="n">
        <v>4</v>
      </c>
      <c r="N12" s="2">
        <f>L12*M12</f>
        <v/>
      </c>
      <c r="O12" s="2">
        <f>IF(N12&lt;=4,"Low",IF(N12&lt;=9,"Medium",IF(N12&lt;=16,"High","Critical")))</f>
        <v/>
      </c>
      <c r="P12" s="2" t="inlineStr">
        <is>
          <t>CTRL-038, CTRL-006</t>
        </is>
      </c>
      <c r="Q12" s="2" t="inlineStr">
        <is>
          <t>Partially Effective</t>
        </is>
      </c>
      <c r="R12" s="2" t="n">
        <v>2</v>
      </c>
      <c r="S12" s="2" t="n">
        <v>2</v>
      </c>
      <c r="T12" s="2">
        <f>R12*S12</f>
        <v/>
      </c>
      <c r="U12" s="2">
        <f>IF(T12&lt;=4,"Low",IF(T12&lt;=9,"Medium",IF(T12&lt;=16,"High","Critical")))</f>
        <v/>
      </c>
      <c r="V12" s="2" t="inlineStr">
        <is>
          <t>Mitigate</t>
        </is>
      </c>
      <c r="W12" s="2" t="inlineStr">
        <is>
          <t>Enforce centralized OAuth2 scope validation middleware across API Gateway for all administrative endpoints.</t>
        </is>
      </c>
      <c r="X12" s="2" t="inlineStr">
        <is>
          <t>2026-09-15</t>
        </is>
      </c>
      <c r="Y12" s="2" t="inlineStr">
        <is>
          <t>In Progress</t>
        </is>
      </c>
      <c r="Z12" s="2" t="inlineStr">
        <is>
          <t>Quarterly</t>
        </is>
      </c>
    </row>
    <row r="13">
      <c r="A13" s="2" t="inlineStr">
        <is>
          <t>RISK-012</t>
        </is>
      </c>
      <c r="B13" s="2" t="inlineStr">
        <is>
          <t>Mobile Application Tampering &amp; Reverse Engineering</t>
        </is>
      </c>
      <c r="C13" s="2" t="inlineStr">
        <is>
          <t>Attacker decompiles Android APK, extracts embedded hardcoded API encryption keys, and impersonates mobile app.</t>
        </is>
      </c>
      <c r="D13" s="2" t="inlineStr">
        <is>
          <t>Mobile Banking</t>
        </is>
      </c>
      <c r="E13" s="2" t="inlineStr">
        <is>
          <t>PayNova Android &amp; iOS Apps</t>
        </is>
      </c>
      <c r="F13" s="2" t="inlineStr">
        <is>
          <t>Reverse Engineering / Key Theft</t>
        </is>
      </c>
      <c r="G13" s="2" t="inlineStr">
        <is>
          <t>Lack of code obfuscation (ProGuard/R8) and hardcoded secret keys in client codebase</t>
        </is>
      </c>
      <c r="H13" s="2" t="inlineStr">
        <is>
          <t>Application Security</t>
        </is>
      </c>
      <c r="I13" s="2" t="inlineStr">
        <is>
          <t>Head of Mobile</t>
        </is>
      </c>
      <c r="J13" s="2" t="inlineStr">
        <is>
          <t>CISO</t>
        </is>
      </c>
      <c r="K13" s="2" t="inlineStr">
        <is>
          <t>Mobile Engineering</t>
        </is>
      </c>
      <c r="L13" s="2" t="n">
        <v>4</v>
      </c>
      <c r="M13" s="2" t="n">
        <v>4</v>
      </c>
      <c r="N13" s="2">
        <f>L13*M13</f>
        <v/>
      </c>
      <c r="O13" s="2">
        <f>IF(N13&lt;=4,"Low",IF(N13&lt;=9,"Medium",IF(N13&lt;=16,"High","Critical")))</f>
        <v/>
      </c>
      <c r="P13" s="2" t="inlineStr">
        <is>
          <t>CTRL-039, CTRL-038</t>
        </is>
      </c>
      <c r="Q13" s="2" t="inlineStr">
        <is>
          <t>Ineffective</t>
        </is>
      </c>
      <c r="R13" s="2" t="n">
        <v>2</v>
      </c>
      <c r="S13" s="2" t="n">
        <v>2</v>
      </c>
      <c r="T13" s="2">
        <f>R13*S13</f>
        <v/>
      </c>
      <c r="U13" s="2">
        <f>IF(T13&lt;=4,"Low",IF(T13&lt;=9,"Medium",IF(T13&lt;=16,"High","Critical")))</f>
        <v/>
      </c>
      <c r="V13" s="2" t="inlineStr">
        <is>
          <t>Mitigate</t>
        </is>
      </c>
      <c r="W13" s="2" t="inlineStr">
        <is>
          <t>Implement DexGuard obfuscation, certificate pinning, and dynamic client integrity attestations (Play Integrity).</t>
        </is>
      </c>
      <c r="X13" s="2" t="inlineStr">
        <is>
          <t>2026-10-15</t>
        </is>
      </c>
      <c r="Y13" s="2" t="inlineStr">
        <is>
          <t>Open</t>
        </is>
      </c>
      <c r="Z13" s="2" t="inlineStr">
        <is>
          <t>Quarterly</t>
        </is>
      </c>
    </row>
    <row r="14">
      <c r="A14" s="2" t="inlineStr">
        <is>
          <t>RISK-013</t>
        </is>
      </c>
      <c r="B14" s="2" t="inlineStr">
        <is>
          <t>Vulnerabilities in Open Source Third-Party Dependencies</t>
        </is>
      </c>
      <c r="C14" s="2" t="inlineStr">
        <is>
          <t>Critical RCE vulnerability (e.g. Log4j/Spring4Shell equivalent) in npm/maven packages used in production services.</t>
        </is>
      </c>
      <c r="D14" s="2" t="inlineStr">
        <is>
          <t>Software Engineering</t>
        </is>
      </c>
      <c r="E14" s="2" t="inlineStr">
        <is>
          <t>Microservices Codebase</t>
        </is>
      </c>
      <c r="F14" s="2" t="inlineStr">
        <is>
          <t>Software Supply Chain Vulnerability</t>
        </is>
      </c>
      <c r="G14" s="2" t="inlineStr">
        <is>
          <t>Infrequent dependency updates and lack of automated SCA scanning in build pipelines</t>
        </is>
      </c>
      <c r="H14" s="2" t="inlineStr">
        <is>
          <t>Application Security</t>
        </is>
      </c>
      <c r="I14" s="2" t="inlineStr">
        <is>
          <t>Head of AppSec</t>
        </is>
      </c>
      <c r="J14" s="2" t="inlineStr">
        <is>
          <t>VP Engineering</t>
        </is>
      </c>
      <c r="K14" s="2" t="inlineStr">
        <is>
          <t>DevSecOps</t>
        </is>
      </c>
      <c r="L14" s="2" t="n">
        <v>5</v>
      </c>
      <c r="M14" s="2" t="n">
        <v>4</v>
      </c>
      <c r="N14" s="2">
        <f>L14*M14</f>
        <v/>
      </c>
      <c r="O14" s="2">
        <f>IF(N14&lt;=4,"Low",IF(N14&lt;=9,"Medium",IF(N14&lt;=16,"High","Critical")))</f>
        <v/>
      </c>
      <c r="P14" s="2" t="inlineStr">
        <is>
          <t>CTRL-037, CTRL-015</t>
        </is>
      </c>
      <c r="Q14" s="2" t="inlineStr">
        <is>
          <t>Partially Effective</t>
        </is>
      </c>
      <c r="R14" s="2" t="n">
        <v>2</v>
      </c>
      <c r="S14" s="2" t="n">
        <v>3</v>
      </c>
      <c r="T14" s="2">
        <f>R14*S14</f>
        <v/>
      </c>
      <c r="U14" s="2">
        <f>IF(T14&lt;=4,"Low",IF(T14&lt;=9,"Medium",IF(T14&lt;=16,"High","Critical")))</f>
        <v/>
      </c>
      <c r="V14" s="2" t="inlineStr">
        <is>
          <t>Mitigate</t>
        </is>
      </c>
      <c r="W14" s="2" t="inlineStr">
        <is>
          <t>Enforce Snyk SCA automated PR blocking for critical/high vulnerabilities and automated Dependabot updates.</t>
        </is>
      </c>
      <c r="X14" s="2" t="inlineStr">
        <is>
          <t>2026-09-30</t>
        </is>
      </c>
      <c r="Y14" s="2" t="inlineStr">
        <is>
          <t>In Progress</t>
        </is>
      </c>
      <c r="Z14" s="2" t="inlineStr">
        <is>
          <t>Monthly</t>
        </is>
      </c>
    </row>
    <row r="15">
      <c r="A15" s="2" t="inlineStr">
        <is>
          <t>RISK-014</t>
        </is>
      </c>
      <c r="B15" s="2" t="inlineStr">
        <is>
          <t>AWS Public S3 Bucket Exposure of KYC Documents</t>
        </is>
      </c>
      <c r="C15" s="2" t="inlineStr">
        <is>
          <t>AWS S3 bucket storing scanned Aadhaar/PAN cards misconfigured with public read access during cloud infrastructure update.</t>
        </is>
      </c>
      <c r="D15" s="2" t="inlineStr">
        <is>
          <t>KYC Verification</t>
        </is>
      </c>
      <c r="E15" s="2" t="inlineStr">
        <is>
          <t>AWS S3 Storage (kyc-docs-prod)</t>
        </is>
      </c>
      <c r="F15" s="2" t="inlineStr">
        <is>
          <t>Cloud Data Leakage</t>
        </is>
      </c>
      <c r="G15" s="2" t="inlineStr">
        <is>
          <t>Accidental removal of S3 Block Public Access setting during Terraform deployment</t>
        </is>
      </c>
      <c r="H15" s="2" t="inlineStr">
        <is>
          <t>Cloud Security</t>
        </is>
      </c>
      <c r="I15" s="2" t="inlineStr">
        <is>
          <t>Head of Cloud Ops</t>
        </is>
      </c>
      <c r="J15" s="2" t="inlineStr">
        <is>
          <t>CISO</t>
        </is>
      </c>
      <c r="K15" s="2" t="inlineStr">
        <is>
          <t>Cloud Infra</t>
        </is>
      </c>
      <c r="L15" s="2" t="n">
        <v>5</v>
      </c>
      <c r="M15" s="2" t="n">
        <v>5</v>
      </c>
      <c r="N15" s="2">
        <f>L15*M15</f>
        <v/>
      </c>
      <c r="O15" s="2">
        <f>IF(N15&lt;=4,"Low",IF(N15&lt;=9,"Medium",IF(N15&lt;=16,"High","Critical")))</f>
        <v/>
      </c>
      <c r="P15" s="2" t="inlineStr">
        <is>
          <t>CTRL-041, CTRL-043</t>
        </is>
      </c>
      <c r="Q15" s="2" t="inlineStr">
        <is>
          <t>Ineffective</t>
        </is>
      </c>
      <c r="R15" s="2" t="n">
        <v>1</v>
      </c>
      <c r="S15" s="2" t="n">
        <v>4</v>
      </c>
      <c r="T15" s="2">
        <f>R15*S15</f>
        <v/>
      </c>
      <c r="U15" s="2">
        <f>IF(T15&lt;=4,"Low",IF(T15&lt;=9,"Medium",IF(T15&lt;=16,"High","Critical")))</f>
        <v/>
      </c>
      <c r="V15" s="2" t="inlineStr">
        <is>
          <t>Mitigate</t>
        </is>
      </c>
      <c r="W15" s="2" t="inlineStr">
        <is>
          <t>Enable AWS Account-level S3 Block Public Access, deploy AWS Config auto-remediation rule, and KMS encryption.</t>
        </is>
      </c>
      <c r="X15" s="2" t="inlineStr">
        <is>
          <t>2026-08-25</t>
        </is>
      </c>
      <c r="Y15" s="2" t="inlineStr">
        <is>
          <t>In Progress</t>
        </is>
      </c>
      <c r="Z15" s="2" t="inlineStr">
        <is>
          <t>Monthly</t>
        </is>
      </c>
    </row>
    <row r="16">
      <c r="A16" s="2" t="inlineStr">
        <is>
          <t>RISK-015</t>
        </is>
      </c>
      <c r="B16" s="2" t="inlineStr">
        <is>
          <t>Overly Permissive AWS IAM Roles Assigned to EC2 Workloads</t>
        </is>
      </c>
      <c r="C16" s="2" t="inlineStr">
        <is>
          <t>Attacker compromising web application server extracts EC2 IMDSv1 credentials with AdministratorAccess.</t>
        </is>
      </c>
      <c r="D16" s="2" t="inlineStr">
        <is>
          <t>Cloud Infrastructure</t>
        </is>
      </c>
      <c r="E16" s="2" t="inlineStr">
        <is>
          <t>AWS IAM Roles &amp; EC2 Instance Metadata</t>
        </is>
      </c>
      <c r="F16" s="2" t="inlineStr">
        <is>
          <t>Cloud Privilege Escalation</t>
        </is>
      </c>
      <c r="G16" s="2" t="inlineStr">
        <is>
          <t>Use of IMDSv1 and inline wildcard IAM policies (*:*) attached to application roles</t>
        </is>
      </c>
      <c r="H16" s="2" t="inlineStr">
        <is>
          <t>Cloud Security</t>
        </is>
      </c>
      <c r="I16" s="2" t="inlineStr">
        <is>
          <t>Head of Cloud Ops</t>
        </is>
      </c>
      <c r="J16" s="2" t="inlineStr">
        <is>
          <t>Head of Infrastructure</t>
        </is>
      </c>
      <c r="K16" s="2" t="inlineStr">
        <is>
          <t>DevOps</t>
        </is>
      </c>
      <c r="L16" s="2" t="n">
        <v>4</v>
      </c>
      <c r="M16" s="2" t="n">
        <v>5</v>
      </c>
      <c r="N16" s="2">
        <f>L16*M16</f>
        <v/>
      </c>
      <c r="O16" s="2">
        <f>IF(N16&lt;=4,"Low",IF(N16&lt;=9,"Medium",IF(N16&lt;=16,"High","Critical")))</f>
        <v/>
      </c>
      <c r="P16" s="2" t="inlineStr">
        <is>
          <t>CTRL-040, CTRL-043</t>
        </is>
      </c>
      <c r="Q16" s="2" t="inlineStr">
        <is>
          <t>Partially Effective</t>
        </is>
      </c>
      <c r="R16" s="2" t="n">
        <v>2</v>
      </c>
      <c r="S16" s="2" t="n">
        <v>3</v>
      </c>
      <c r="T16" s="2">
        <f>R16*S16</f>
        <v/>
      </c>
      <c r="U16" s="2">
        <f>IF(T16&lt;=4,"Low",IF(T16&lt;=9,"Medium",IF(T16&lt;=16,"High","Critical")))</f>
        <v/>
      </c>
      <c r="V16" s="2" t="inlineStr">
        <is>
          <t>Mitigate</t>
        </is>
      </c>
      <c r="W16" s="2" t="inlineStr">
        <is>
          <t>Enforce IMDSv2 strictly, enforce IAM Access Analyzer, and scope IAM policies to exact resource ARNs.</t>
        </is>
      </c>
      <c r="X16" s="2" t="inlineStr">
        <is>
          <t>2026-09-30</t>
        </is>
      </c>
      <c r="Y16" s="2" t="inlineStr">
        <is>
          <t>In Progress</t>
        </is>
      </c>
      <c r="Z16" s="2" t="inlineStr">
        <is>
          <t>Quarterly</t>
        </is>
      </c>
    </row>
    <row r="17">
      <c r="A17" s="2" t="inlineStr">
        <is>
          <t>RISK-016</t>
        </is>
      </c>
      <c r="B17" s="2" t="inlineStr">
        <is>
          <t>AWS Security Group Misconfiguration Exposing PostgreSQL to Internet</t>
        </is>
      </c>
      <c r="C17" s="2" t="inlineStr">
        <is>
          <t>Security Group rule altered to 0.0.0.0/0 on port 5432 during troubleshooting and left open in production.</t>
        </is>
      </c>
      <c r="D17" s="2" t="inlineStr">
        <is>
          <t>Cloud Infrastructure</t>
        </is>
      </c>
      <c r="E17" s="2" t="inlineStr">
        <is>
          <t>AWS VPC Security Groups / RDS</t>
        </is>
      </c>
      <c r="F17" s="2" t="inlineStr">
        <is>
          <t>Unrestricted Network Exposure</t>
        </is>
      </c>
      <c r="G17" s="2" t="inlineStr">
        <is>
          <t>Manual security group modifications outside Infrastructure-as-Code (Terraform)</t>
        </is>
      </c>
      <c r="H17" s="2" t="inlineStr">
        <is>
          <t>Cloud Security</t>
        </is>
      </c>
      <c r="I17" s="2" t="inlineStr">
        <is>
          <t>Head of Cloud Ops</t>
        </is>
      </c>
      <c r="J17" s="2" t="inlineStr">
        <is>
          <t>CISO</t>
        </is>
      </c>
      <c r="K17" s="2" t="inlineStr">
        <is>
          <t>DevOps</t>
        </is>
      </c>
      <c r="L17" s="2" t="n">
        <v>4</v>
      </c>
      <c r="M17" s="2" t="n">
        <v>5</v>
      </c>
      <c r="N17" s="2">
        <f>L17*M17</f>
        <v/>
      </c>
      <c r="O17" s="2">
        <f>IF(N17&lt;=4,"Low",IF(N17&lt;=9,"Medium",IF(N17&lt;=16,"High","Critical")))</f>
        <v/>
      </c>
      <c r="P17" s="2" t="inlineStr">
        <is>
          <t>CTRL-042, CTRL-043</t>
        </is>
      </c>
      <c r="Q17" s="2" t="inlineStr">
        <is>
          <t>Partially Effective</t>
        </is>
      </c>
      <c r="R17" s="2" t="n">
        <v>1</v>
      </c>
      <c r="S17" s="2" t="n">
        <v>3</v>
      </c>
      <c r="T17" s="2">
        <f>R17*S17</f>
        <v/>
      </c>
      <c r="U17" s="2">
        <f>IF(T17&lt;=4,"Low",IF(T17&lt;=9,"Medium",IF(T17&lt;=16,"High","Critical")))</f>
        <v/>
      </c>
      <c r="V17" s="2" t="inlineStr">
        <is>
          <t>Mitigate</t>
        </is>
      </c>
      <c r="W17" s="2" t="inlineStr">
        <is>
          <t>Implement AWS Config auto-remediation to revoke 0.0.0.0/0 database rules and enforce Terraform drift detection.</t>
        </is>
      </c>
      <c r="X17" s="2" t="inlineStr">
        <is>
          <t>2026-09-10</t>
        </is>
      </c>
      <c r="Y17" s="2" t="inlineStr">
        <is>
          <t>In Progress</t>
        </is>
      </c>
      <c r="Z17" s="2" t="inlineStr">
        <is>
          <t>Monthly</t>
        </is>
      </c>
    </row>
    <row r="18">
      <c r="A18" s="2" t="inlineStr">
        <is>
          <t>RISK-017</t>
        </is>
      </c>
      <c r="B18" s="2" t="inlineStr">
        <is>
          <t>Kubernetes Pod Privilege Escalation to Host Container Node</t>
        </is>
      </c>
      <c r="C18" s="2" t="inlineStr">
        <is>
          <t>Container running as root with hostPath volume mount compromised, allowing host node root file system takeover.</t>
        </is>
      </c>
      <c r="D18" s="2" t="inlineStr">
        <is>
          <t>Container Infrastructure</t>
        </is>
      </c>
      <c r="E18" s="2" t="inlineStr">
        <is>
          <t>EKS Worker Nodes / Pods</t>
        </is>
      </c>
      <c r="F18" s="2" t="inlineStr">
        <is>
          <t>Container Escape / Host Takeover</t>
        </is>
      </c>
      <c r="G18" s="2" t="inlineStr">
        <is>
          <t>Pods running without Pod Security Admission / Security Context constraints</t>
        </is>
      </c>
      <c r="H18" s="2" t="inlineStr">
        <is>
          <t>Cloud Security</t>
        </is>
      </c>
      <c r="I18" s="2" t="inlineStr">
        <is>
          <t>Head of Infrastructure</t>
        </is>
      </c>
      <c r="J18" s="2" t="inlineStr">
        <is>
          <t>Head of AppSec</t>
        </is>
      </c>
      <c r="K18" s="2" t="inlineStr">
        <is>
          <t>DevOps</t>
        </is>
      </c>
      <c r="L18" s="2" t="n">
        <v>4</v>
      </c>
      <c r="M18" s="2" t="n">
        <v>4</v>
      </c>
      <c r="N18" s="2">
        <f>L18*M18</f>
        <v/>
      </c>
      <c r="O18" s="2">
        <f>IF(N18&lt;=4,"Low",IF(N18&lt;=9,"Medium",IF(N18&lt;=16,"High","Critical")))</f>
        <v/>
      </c>
      <c r="P18" s="2" t="inlineStr">
        <is>
          <t>CTRL-044, CTRL-033</t>
        </is>
      </c>
      <c r="Q18" s="2" t="inlineStr">
        <is>
          <t>Ineffective</t>
        </is>
      </c>
      <c r="R18" s="2" t="n">
        <v>2</v>
      </c>
      <c r="S18" s="2" t="n">
        <v>2</v>
      </c>
      <c r="T18" s="2">
        <f>R18*S18</f>
        <v/>
      </c>
      <c r="U18" s="2">
        <f>IF(T18&lt;=4,"Low",IF(T18&lt;=9,"Medium",IF(T18&lt;=16,"High","Critical")))</f>
        <v/>
      </c>
      <c r="V18" s="2" t="inlineStr">
        <is>
          <t>Mitigate</t>
        </is>
      </c>
      <c r="W18" s="2" t="inlineStr">
        <is>
          <t>Enforce EKS Pod Security Standard 'Restricted' profile, block root containers, and deploy Falco runtime security.</t>
        </is>
      </c>
      <c r="X18" s="2" t="inlineStr">
        <is>
          <t>2026-10-31</t>
        </is>
      </c>
      <c r="Y18" s="2" t="inlineStr">
        <is>
          <t>Open</t>
        </is>
      </c>
      <c r="Z18" s="2" t="inlineStr">
        <is>
          <t>Quarterly</t>
        </is>
      </c>
    </row>
    <row r="19">
      <c r="A19" s="2" t="inlineStr">
        <is>
          <t>RISK-018</t>
        </is>
      </c>
      <c r="B19" s="2" t="inlineStr">
        <is>
          <t>Inadequate AWS CloudTrail &amp; EKS Audit Logging Coverage</t>
        </is>
      </c>
      <c r="C19" s="2" t="inlineStr">
        <is>
          <t>CloudTrail logging disabled or logs deleted in secondary region, disabling forensics during cloud incident.</t>
        </is>
      </c>
      <c r="D19" s="2" t="inlineStr">
        <is>
          <t>Security Operations</t>
        </is>
      </c>
      <c r="E19" s="2" t="inlineStr">
        <is>
          <t>AWS CloudTrail &amp; EKS Logs</t>
        </is>
      </c>
      <c r="F19" s="2" t="inlineStr">
        <is>
          <t>Log Suppression / Anti-Forensics</t>
        </is>
      </c>
      <c r="G19" s="2" t="inlineStr">
        <is>
          <t>CloudTrail logs stored in same account without S3 Object Lock or MFA Delete</t>
        </is>
      </c>
      <c r="H19" s="2" t="inlineStr">
        <is>
          <t>CloudSecurity</t>
        </is>
      </c>
      <c r="I19" s="2" t="inlineStr">
        <is>
          <t>CISO</t>
        </is>
      </c>
      <c r="J19" s="2" t="inlineStr">
        <is>
          <t>Head of Security Ops</t>
        </is>
      </c>
      <c r="K19" s="2" t="inlineStr">
        <is>
          <t>SOC</t>
        </is>
      </c>
      <c r="L19" s="2" t="n">
        <v>4</v>
      </c>
      <c r="M19" s="2" t="n">
        <v>4</v>
      </c>
      <c r="N19" s="2">
        <f>L19*M19</f>
        <v/>
      </c>
      <c r="O19" s="2">
        <f>IF(N19&lt;=4,"Low",IF(N19&lt;=9,"Medium",IF(N19&lt;=16,"High","Critical")))</f>
        <v/>
      </c>
      <c r="P19" s="2" t="inlineStr">
        <is>
          <t>CTRL-020, CTRL-021, CTRL-023</t>
        </is>
      </c>
      <c r="Q19" s="2" t="inlineStr">
        <is>
          <t>Partially Effective</t>
        </is>
      </c>
      <c r="R19" s="2" t="n">
        <v>1</v>
      </c>
      <c r="S19" s="2" t="n">
        <v>3</v>
      </c>
      <c r="T19" s="2">
        <f>R19*S19</f>
        <v/>
      </c>
      <c r="U19" s="2">
        <f>IF(T19&lt;=4,"Low",IF(T19&lt;=9,"Medium",IF(T19&lt;=16,"High","Critical")))</f>
        <v/>
      </c>
      <c r="V19" s="2" t="inlineStr">
        <is>
          <t>Mitigate</t>
        </is>
      </c>
      <c r="W19" s="2" t="inlineStr">
        <is>
          <t>Centralize CloudTrail logs in dedicated Audit AWS Account with S3 Object Lock enabled in Compliance mode.</t>
        </is>
      </c>
      <c r="X19" s="2" t="inlineStr">
        <is>
          <t>2026-09-15</t>
        </is>
      </c>
      <c r="Y19" s="2" t="inlineStr">
        <is>
          <t>In Progress</t>
        </is>
      </c>
      <c r="Z19" s="2" t="inlineStr">
        <is>
          <t>Quarterly</t>
        </is>
      </c>
    </row>
    <row r="20">
      <c r="A20" s="2" t="inlineStr">
        <is>
          <t>RISK-019</t>
        </is>
      </c>
      <c r="B20" s="2" t="inlineStr">
        <is>
          <t>Exposure of Customer PII in Application Debug Logs</t>
        </is>
      </c>
      <c r="C20" s="2" t="inlineStr">
        <is>
          <t>Full customer Aadhaar numbers, PAN, and card numbers printed in plain text in production Datadog logs.</t>
        </is>
      </c>
      <c r="D20" s="2" t="inlineStr">
        <is>
          <t>Data Operations</t>
        </is>
      </c>
      <c r="E20" s="2" t="inlineStr">
        <is>
          <t>Datadog Log Repository</t>
        </is>
      </c>
      <c r="F20" s="2" t="inlineStr">
        <is>
          <t>PII Leakage to Third-Party SaaS</t>
        </is>
      </c>
      <c r="G20" s="2" t="inlineStr">
        <is>
          <t>Developer print/debug logging statements left unscrubbed in production codebase</t>
        </is>
      </c>
      <c r="H20" s="2" t="inlineStr">
        <is>
          <t>Data Security</t>
        </is>
      </c>
      <c r="I20" s="2" t="inlineStr">
        <is>
          <t>Data Protection Officer</t>
        </is>
      </c>
      <c r="J20" s="2" t="inlineStr">
        <is>
          <t>Head of Engineering</t>
        </is>
      </c>
      <c r="K20" s="2" t="inlineStr">
        <is>
          <t>Engineering</t>
        </is>
      </c>
      <c r="L20" s="2" t="n">
        <v>5</v>
      </c>
      <c r="M20" s="2" t="n">
        <v>5</v>
      </c>
      <c r="N20" s="2">
        <f>L20*M20</f>
        <v/>
      </c>
      <c r="O20" s="2">
        <f>IF(N20&lt;=4,"Low",IF(N20&lt;=9,"Medium",IF(N20&lt;=16,"High","Critical")))</f>
        <v/>
      </c>
      <c r="P20" s="2" t="inlineStr">
        <is>
          <t>CTRL-011, CTRL-018</t>
        </is>
      </c>
      <c r="Q20" s="2" t="inlineStr">
        <is>
          <t>Ineffective</t>
        </is>
      </c>
      <c r="R20" s="2" t="n">
        <v>2</v>
      </c>
      <c r="S20" s="2" t="n">
        <v>3</v>
      </c>
      <c r="T20" s="2">
        <f>R20*S20</f>
        <v/>
      </c>
      <c r="U20" s="2">
        <f>IF(T20&lt;=4,"Low",IF(T20&lt;=9,"Medium",IF(T20&lt;=16,"High","Critical")))</f>
        <v/>
      </c>
      <c r="V20" s="2" t="inlineStr">
        <is>
          <t>Mitigate</t>
        </is>
      </c>
      <c r="W20" s="2" t="inlineStr">
        <is>
          <t>Implement log scrubbing patterns at API Gateway / FluentBit collectors and run regex DLP scans on Datadog.</t>
        </is>
      </c>
      <c r="X20" s="2" t="inlineStr">
        <is>
          <t>2026-09-05</t>
        </is>
      </c>
      <c r="Y20" s="2" t="inlineStr">
        <is>
          <t>In Progress</t>
        </is>
      </c>
      <c r="Z20" s="2" t="inlineStr">
        <is>
          <t>Monthly</t>
        </is>
      </c>
    </row>
    <row r="21">
      <c r="A21" s="2" t="inlineStr">
        <is>
          <t>RISK-020</t>
        </is>
      </c>
      <c r="B21" s="2" t="inlineStr">
        <is>
          <t>KYC Document Storage Encryption Key Compromise / Mismanagement</t>
        </is>
      </c>
      <c r="C21" s="2" t="inlineStr">
        <is>
          <t>AWS KMS Customer Managed Key (CMK) used to encrypt 2.5M KYC documents misconfigured with broad key policy.</t>
        </is>
      </c>
      <c r="D21" s="2" t="inlineStr">
        <is>
          <t>Data Protection</t>
        </is>
      </c>
      <c r="E21" s="2" t="inlineStr">
        <is>
          <t>AWS KMS Keys &amp; S3 Encryption</t>
        </is>
      </c>
      <c r="F21" s="2" t="inlineStr">
        <is>
          <t>Data Encryption Failure</t>
        </is>
      </c>
      <c r="G21" s="2" t="inlineStr">
        <is>
          <t>KMS Key Policy grants kms:* permissions to default AWS authenticated accounts</t>
        </is>
      </c>
      <c r="H21" s="2" t="inlineStr">
        <is>
          <t>Data Security</t>
        </is>
      </c>
      <c r="I21" s="2" t="inlineStr">
        <is>
          <t>CISO</t>
        </is>
      </c>
      <c r="J21" s="2" t="inlineStr">
        <is>
          <t>Head of Cloud Ops</t>
        </is>
      </c>
      <c r="K21" s="2" t="inlineStr">
        <is>
          <t>Security</t>
        </is>
      </c>
      <c r="L21" s="2" t="n">
        <v>4</v>
      </c>
      <c r="M21" s="2" t="n">
        <v>5</v>
      </c>
      <c r="N21" s="2">
        <f>L21*M21</f>
        <v/>
      </c>
      <c r="O21" s="2">
        <f>IF(N21&lt;=4,"Low",IF(N21&lt;=9,"Medium",IF(N21&lt;=16,"High","Critical")))</f>
        <v/>
      </c>
      <c r="P21" s="2" t="inlineStr">
        <is>
          <t>CTRL-010, CTRL-008</t>
        </is>
      </c>
      <c r="Q21" s="2" t="inlineStr">
        <is>
          <t>Partially Effective</t>
        </is>
      </c>
      <c r="R21" s="2" t="n">
        <v>1</v>
      </c>
      <c r="S21" s="2" t="n">
        <v>3</v>
      </c>
      <c r="T21" s="2">
        <f>R21*S21</f>
        <v/>
      </c>
      <c r="U21" s="2">
        <f>IF(T21&lt;=4,"Low",IF(T21&lt;=9,"Medium",IF(T21&lt;=16,"High","Critical")))</f>
        <v/>
      </c>
      <c r="V21" s="2" t="inlineStr">
        <is>
          <t>Mitigate</t>
        </is>
      </c>
      <c r="W21" s="2" t="inlineStr">
        <is>
          <t>Restrict KMS Key Policy to specific KMS IAM roles, enable annual automatic key rotation, and audit key access logs.</t>
        </is>
      </c>
      <c r="X21" s="2" t="inlineStr">
        <is>
          <t>2026-09-30</t>
        </is>
      </c>
      <c r="Y21" s="2" t="inlineStr">
        <is>
          <t>In Progress</t>
        </is>
      </c>
      <c r="Z21" s="2" t="inlineStr">
        <is>
          <t>Quarterly</t>
        </is>
      </c>
    </row>
    <row r="22">
      <c r="A22" s="2" t="inlineStr">
        <is>
          <t>RISK-021</t>
        </is>
      </c>
      <c r="B22" s="2" t="inlineStr">
        <is>
          <t>Violation of Data Retention &amp; Privacy Disposal Regulations</t>
        </is>
      </c>
      <c r="C22" s="2" t="inlineStr">
        <is>
          <t>Customer transaction logs and inactive account PII retained indefinitely beyond mandatory regulatory limits.</t>
        </is>
      </c>
      <c r="D22" s="2" t="inlineStr">
        <is>
          <t>Data Compliance</t>
        </is>
      </c>
      <c r="E22" s="2" t="inlineStr">
        <is>
          <t>PostgreSQL &amp; S3 Archives</t>
        </is>
      </c>
      <c r="F22" s="2" t="inlineStr">
        <is>
          <t>Regulatory Penalty (DPDP / RBI)</t>
        </is>
      </c>
      <c r="G22" s="2" t="inlineStr">
        <is>
          <t>Absence of automated database purging scripts and data retention lifecycle policies</t>
        </is>
      </c>
      <c r="H22" s="2" t="inlineStr">
        <is>
          <t>Data Security</t>
        </is>
      </c>
      <c r="I22" s="2" t="inlineStr">
        <is>
          <t>Data Protection Officer</t>
        </is>
      </c>
      <c r="J22" s="2" t="inlineStr">
        <is>
          <t>Legal &amp; Compliance</t>
        </is>
      </c>
      <c r="K22" s="2" t="inlineStr">
        <is>
          <t>Compliance</t>
        </is>
      </c>
      <c r="L22" s="2" t="n">
        <v>4</v>
      </c>
      <c r="M22" s="2" t="n">
        <v>4</v>
      </c>
      <c r="N22" s="2">
        <f>L22*M22</f>
        <v/>
      </c>
      <c r="O22" s="2">
        <f>IF(N22&lt;=4,"Low",IF(N22&lt;=9,"Medium",IF(N22&lt;=16,"High","Critical")))</f>
        <v/>
      </c>
      <c r="P22" s="2" t="inlineStr">
        <is>
          <t>CTRL-012, CTRL-013</t>
        </is>
      </c>
      <c r="Q22" s="2" t="inlineStr">
        <is>
          <t>Partially Effective</t>
        </is>
      </c>
      <c r="R22" s="2" t="n">
        <v>2</v>
      </c>
      <c r="S22" s="2" t="n">
        <v>2</v>
      </c>
      <c r="T22" s="2">
        <f>R22*S22</f>
        <v/>
      </c>
      <c r="U22" s="2">
        <f>IF(T22&lt;=4,"Low",IF(T22&lt;=9,"Medium",IF(T22&lt;=16,"High","Critical")))</f>
        <v/>
      </c>
      <c r="V22" s="2" t="inlineStr">
        <is>
          <t>Mitigate</t>
        </is>
      </c>
      <c r="W22" s="2" t="inlineStr">
        <is>
          <t>Implement automated S3 Lifecycle Rules (purge after 7 yrs) and PostgreSQL anonymization cron jobs.</t>
        </is>
      </c>
      <c r="X22" s="2" t="inlineStr">
        <is>
          <t>2026-11-30</t>
        </is>
      </c>
      <c r="Y22" s="2" t="inlineStr">
        <is>
          <t>Open</t>
        </is>
      </c>
      <c r="Z22" s="2" t="inlineStr">
        <is>
          <t>Semi-Annually</t>
        </is>
      </c>
    </row>
    <row r="23">
      <c r="A23" s="2" t="inlineStr">
        <is>
          <t>RISK-022</t>
        </is>
      </c>
      <c r="B23" s="2" t="inlineStr">
        <is>
          <t>PostgreSQL Database Backup Corruption or Ransomware Encrypt</t>
        </is>
      </c>
      <c r="C23" s="2" t="inlineStr">
        <is>
          <t>Production database backups stored in S3 encrypted or deleted by compromised cloud admin account.</t>
        </is>
      </c>
      <c r="D23" s="2" t="inlineStr">
        <is>
          <t>Business Continuity</t>
        </is>
      </c>
      <c r="E23" s="2" t="inlineStr">
        <is>
          <t>Database Backup Snapshots</t>
        </is>
      </c>
      <c r="F23" s="2" t="inlineStr">
        <is>
          <t>Backup Destruction / Data Loss</t>
        </is>
      </c>
      <c r="G23" s="2" t="inlineStr">
        <is>
          <t>Backups stored in primary production AWS account without cross-region cross-account replication</t>
        </is>
      </c>
      <c r="H23" s="2" t="inlineStr">
        <is>
          <t>Data Security</t>
        </is>
      </c>
      <c r="I23" s="2" t="inlineStr">
        <is>
          <t>Head of Infrastructure</t>
        </is>
      </c>
      <c r="J23" s="2" t="inlineStr">
        <is>
          <t>CISO</t>
        </is>
      </c>
      <c r="K23" s="2" t="inlineStr">
        <is>
          <t>DevOps</t>
        </is>
      </c>
      <c r="L23" s="2" t="n">
        <v>4</v>
      </c>
      <c r="M23" s="2" t="n">
        <v>5</v>
      </c>
      <c r="N23" s="2">
        <f>L23*M23</f>
        <v/>
      </c>
      <c r="O23" s="2">
        <f>IF(N23&lt;=4,"Low",IF(N23&lt;=9,"Medium",IF(N23&lt;=16,"High","Critical")))</f>
        <v/>
      </c>
      <c r="P23" s="2" t="inlineStr">
        <is>
          <t>CTRL-029, CTRL-030</t>
        </is>
      </c>
      <c r="Q23" s="2" t="inlineStr">
        <is>
          <t>Partially Effective</t>
        </is>
      </c>
      <c r="R23" s="2" t="n">
        <v>1</v>
      </c>
      <c r="S23" s="2" t="n">
        <v>3</v>
      </c>
      <c r="T23" s="2">
        <f>R23*S23</f>
        <v/>
      </c>
      <c r="U23" s="2">
        <f>IF(T23&lt;=4,"Low",IF(T23&lt;=9,"Medium",IF(T23&lt;=16,"High","Critical")))</f>
        <v/>
      </c>
      <c r="V23" s="2" t="inlineStr">
        <is>
          <t>Mitigate</t>
        </is>
      </c>
      <c r="W23" s="2" t="inlineStr">
        <is>
          <t>Enable AWS Backup Vault Lock (WORM), replicate backups to isolated Disaster Recovery AWS account.</t>
        </is>
      </c>
      <c r="X23" s="2" t="inlineStr">
        <is>
          <t>2026-09-20</t>
        </is>
      </c>
      <c r="Y23" s="2" t="inlineStr">
        <is>
          <t>In Progress</t>
        </is>
      </c>
      <c r="Z23" s="2" t="inlineStr">
        <is>
          <t>Quarterly</t>
        </is>
      </c>
    </row>
    <row r="24">
      <c r="A24" s="2" t="inlineStr">
        <is>
          <t>RISK-023</t>
        </is>
      </c>
      <c r="B24" s="2" t="inlineStr">
        <is>
          <t>Outage of Core Third-Party Payment Gateway Integrator</t>
        </is>
      </c>
      <c r="C24" s="2" t="inlineStr">
        <is>
          <t>Primary payment gateway partner experiences multi-hour service outage, halting 60% of card processing.</t>
        </is>
      </c>
      <c r="D24" s="2" t="inlineStr">
        <is>
          <t>Payment Processing</t>
        </is>
      </c>
      <c r="E24" s="2" t="inlineStr">
        <is>
          <t>Payment Gateway REST API</t>
        </is>
      </c>
      <c r="F24" s="2" t="inlineStr">
        <is>
          <t>Third-Party Service Outage</t>
        </is>
      </c>
      <c r="G24" s="2" t="inlineStr">
        <is>
          <t>Single gateway dependency without dynamic automated failover to secondary gateway</t>
        </is>
      </c>
      <c r="H24" s="2" t="inlineStr">
        <is>
          <t>Third-Party Risk</t>
        </is>
      </c>
      <c r="I24" s="2" t="inlineStr">
        <is>
          <t>Head of Merchant Ops</t>
        </is>
      </c>
      <c r="J24" s="2" t="inlineStr">
        <is>
          <t>VP Product</t>
        </is>
      </c>
      <c r="K24" s="2" t="inlineStr">
        <is>
          <t>Operations</t>
        </is>
      </c>
      <c r="L24" s="2" t="n">
        <v>4</v>
      </c>
      <c r="M24" s="2" t="n">
        <v>4</v>
      </c>
      <c r="N24" s="2">
        <f>L24*M24</f>
        <v/>
      </c>
      <c r="O24" s="2">
        <f>IF(N24&lt;=4,"Low",IF(N24&lt;=9,"Medium",IF(N24&lt;=16,"High","Critical")))</f>
        <v/>
      </c>
      <c r="P24" s="2" t="inlineStr">
        <is>
          <t>CTRL-050, CTRL-031</t>
        </is>
      </c>
      <c r="Q24" s="2" t="inlineStr">
        <is>
          <t>Effective</t>
        </is>
      </c>
      <c r="R24" s="2" t="n">
        <v>2</v>
      </c>
      <c r="S24" s="2" t="n">
        <v>2</v>
      </c>
      <c r="T24" s="2">
        <f>R24*S24</f>
        <v/>
      </c>
      <c r="U24" s="2">
        <f>IF(T24&lt;=4,"Low",IF(T24&lt;=9,"Medium",IF(T24&lt;=16,"High","Critical")))</f>
        <v/>
      </c>
      <c r="V24" s="2" t="inlineStr">
        <is>
          <t>Mitigate</t>
        </is>
      </c>
      <c r="W24" s="2" t="inlineStr">
        <is>
          <t>Implement multi-gateway routing architecture (Razorpay + Cashfree) with automated circuit-breaker failover.</t>
        </is>
      </c>
      <c r="X24" s="2" t="inlineStr">
        <is>
          <t>2026-10-15</t>
        </is>
      </c>
      <c r="Y24" s="2" t="inlineStr">
        <is>
          <t>In Progress</t>
        </is>
      </c>
      <c r="Z24" s="2" t="inlineStr">
        <is>
          <t>Quarterly</t>
        </is>
      </c>
    </row>
    <row r="25">
      <c r="A25" s="2" t="inlineStr">
        <is>
          <t>RISK-024</t>
        </is>
      </c>
      <c r="B25" s="2" t="inlineStr">
        <is>
          <t>Compromise of Third-Party Identity / KYC Verification Vendor API</t>
        </is>
      </c>
      <c r="C25" s="2" t="inlineStr">
        <is>
          <t>Security breach at KYC API vendor allows unauthorized injection of fake KYC verification statuses.</t>
        </is>
      </c>
      <c r="D25" s="2" t="inlineStr">
        <is>
          <t>KYC Onboarding</t>
        </is>
      </c>
      <c r="E25" s="2" t="inlineStr">
        <is>
          <t>Signzy / IDfy KYC Integration</t>
        </is>
      </c>
      <c r="F25" s="2" t="inlineStr">
        <is>
          <t>Vendor Supply Chain Breach</t>
        </is>
      </c>
      <c r="G25" s="2" t="inlineStr">
        <is>
          <t>Lack of payload signature verification on incoming webhook responses from KYC vendor</t>
        </is>
      </c>
      <c r="H25" s="2" t="inlineStr">
        <is>
          <t>Third-Party Risk</t>
        </is>
      </c>
      <c r="I25" s="2" t="inlineStr">
        <is>
          <t>CISO</t>
        </is>
      </c>
      <c r="J25" s="2" t="inlineStr">
        <is>
          <t>Head of Fraud Ops</t>
        </is>
      </c>
      <c r="K25" s="2" t="inlineStr">
        <is>
          <t>Security</t>
        </is>
      </c>
      <c r="L25" s="2" t="n">
        <v>4</v>
      </c>
      <c r="M25" s="2" t="n">
        <v>5</v>
      </c>
      <c r="N25" s="2">
        <f>L25*M25</f>
        <v/>
      </c>
      <c r="O25" s="2">
        <f>IF(N25&lt;=4,"Low",IF(N25&lt;=9,"Medium",IF(N25&lt;=16,"High","Critical")))</f>
        <v/>
      </c>
      <c r="P25" s="2" t="inlineStr">
        <is>
          <t>CTRL-050, CTRL-038</t>
        </is>
      </c>
      <c r="Q25" s="2" t="inlineStr">
        <is>
          <t>Partially Effective</t>
        </is>
      </c>
      <c r="R25" s="2" t="n">
        <v>2</v>
      </c>
      <c r="S25" s="2" t="n">
        <v>3</v>
      </c>
      <c r="T25" s="2">
        <f>R25*S25</f>
        <v/>
      </c>
      <c r="U25" s="2">
        <f>IF(T25&lt;=4,"Low",IF(T25&lt;=9,"Medium",IF(T25&lt;=16,"High","Critical")))</f>
        <v/>
      </c>
      <c r="V25" s="2" t="inlineStr">
        <is>
          <t>Mitigate</t>
        </is>
      </c>
      <c r="W25" s="2" t="inlineStr">
        <is>
          <t>Enforce HMAC-SHA256 signature verification on all vendor webhooks and conduct annual vendor SOC 2 review.</t>
        </is>
      </c>
      <c r="X25" s="2" t="inlineStr">
        <is>
          <t>2026-09-30</t>
        </is>
      </c>
      <c r="Y25" s="2" t="inlineStr">
        <is>
          <t>In Progress</t>
        </is>
      </c>
      <c r="Z25" s="2" t="inlineStr">
        <is>
          <t>Quarterly</t>
        </is>
      </c>
    </row>
    <row r="26">
      <c r="A26" s="2" t="inlineStr">
        <is>
          <t>RISK-025</t>
        </is>
      </c>
      <c r="B26" s="2" t="inlineStr">
        <is>
          <t>SMS Gateway Provider Outage Halting Customer OTP Deliveries</t>
        </is>
      </c>
      <c r="C26" s="2" t="inlineStr">
        <is>
          <t>Primary SMS provider experiences carrier routing failure, causing 100% OTP failure for transaction verification.</t>
        </is>
      </c>
      <c r="D26" s="2" t="inlineStr">
        <is>
          <t>Authentication</t>
        </is>
      </c>
      <c r="E26" s="2" t="inlineStr">
        <is>
          <t>Twilio / Gupshup SMS Gateway</t>
        </is>
      </c>
      <c r="F26" s="2" t="inlineStr">
        <is>
          <t>Third-Party Communication Failure</t>
        </is>
      </c>
      <c r="G26" s="2" t="inlineStr">
        <is>
          <t>Lack of secondary fallback SMS gateway or WhatsApp OTP fallback mechanism</t>
        </is>
      </c>
      <c r="H26" s="2" t="inlineStr">
        <is>
          <t>Third-Party Risk</t>
        </is>
      </c>
      <c r="I26" s="2" t="inlineStr">
        <is>
          <t>Head of Engineering</t>
        </is>
      </c>
      <c r="J26" s="2" t="inlineStr">
        <is>
          <t>Head of Support</t>
        </is>
      </c>
      <c r="K26" s="2" t="inlineStr">
        <is>
          <t>Operations</t>
        </is>
      </c>
      <c r="L26" s="2" t="n">
        <v>5</v>
      </c>
      <c r="M26" s="2" t="n">
        <v>4</v>
      </c>
      <c r="N26" s="2">
        <f>L26*M26</f>
        <v/>
      </c>
      <c r="O26" s="2">
        <f>IF(N26&lt;=4,"Low",IF(N26&lt;=9,"Medium",IF(N26&lt;=16,"High","Critical")))</f>
        <v/>
      </c>
      <c r="P26" s="2" t="inlineStr">
        <is>
          <t>CTRL-050, CTRL-031</t>
        </is>
      </c>
      <c r="Q26" s="2" t="inlineStr">
        <is>
          <t>Partially Effective</t>
        </is>
      </c>
      <c r="R26" s="2" t="n">
        <v>2</v>
      </c>
      <c r="S26" s="2" t="n">
        <v>2</v>
      </c>
      <c r="T26" s="2">
        <f>R26*S26</f>
        <v/>
      </c>
      <c r="U26" s="2">
        <f>IF(T26&lt;=4,"Low",IF(T26&lt;=9,"Medium",IF(T26&lt;=16,"High","Critical")))</f>
        <v/>
      </c>
      <c r="V26" s="2" t="inlineStr">
        <is>
          <t>Mitigate</t>
        </is>
      </c>
      <c r="W26" s="2" t="inlineStr">
        <is>
          <t>Integrate secondary SMS gateway (Kaleyra) and enable WhatsApp OTP fallback API for transaction auth.</t>
        </is>
      </c>
      <c r="X26" s="2" t="inlineStr">
        <is>
          <t>2026-09-15</t>
        </is>
      </c>
      <c r="Y26" s="2" t="inlineStr">
        <is>
          <t>In Progress</t>
        </is>
      </c>
      <c r="Z26" s="2" t="inlineStr">
        <is>
          <t>Quarterly</t>
        </is>
      </c>
    </row>
    <row r="27">
      <c r="A27" s="2" t="inlineStr">
        <is>
          <t>RISK-026</t>
        </is>
      </c>
      <c r="B27" s="2" t="inlineStr">
        <is>
          <t>Third-Party Cloud Infrastructure Regional Outage (AWS ap-south-1)</t>
        </is>
      </c>
      <c r="C27" s="2" t="inlineStr">
        <is>
          <t>Major AWS ap-south-1 data center outage disables EKS cluster and RDS primary database.</t>
        </is>
      </c>
      <c r="D27" s="2" t="inlineStr">
        <is>
          <t>Cloud Availability</t>
        </is>
      </c>
      <c r="E27" s="2" t="inlineStr">
        <is>
          <t>AWS Infrastructure</t>
        </is>
      </c>
      <c r="F27" s="2" t="inlineStr">
        <is>
          <t>Cloud Provider Regional Outage</t>
        </is>
      </c>
      <c r="G27" s="2" t="inlineStr">
        <is>
          <t>Infrastructure deployed in single AWS region without multi-region DR automated failover</t>
        </is>
      </c>
      <c r="H27" s="2" t="inlineStr">
        <is>
          <t>Third-Party Risk</t>
        </is>
      </c>
      <c r="I27" s="2" t="inlineStr">
        <is>
          <t>Head of Infrastructure</t>
        </is>
      </c>
      <c r="J27" s="2" t="inlineStr">
        <is>
          <t>CFO</t>
        </is>
      </c>
      <c r="K27" s="2" t="inlineStr">
        <is>
          <t>DevOps</t>
        </is>
      </c>
      <c r="L27" s="2" t="n">
        <v>3</v>
      </c>
      <c r="M27" s="2" t="n">
        <v>5</v>
      </c>
      <c r="N27" s="2">
        <f>L27*M27</f>
        <v/>
      </c>
      <c r="O27" s="2">
        <f>IF(N27&lt;=4,"Low",IF(N27&lt;=9,"Medium",IF(N27&lt;=16,"High","Critical")))</f>
        <v/>
      </c>
      <c r="P27" s="2" t="inlineStr">
        <is>
          <t>CTRL-030, CTRL-032</t>
        </is>
      </c>
      <c r="Q27" s="2" t="inlineStr">
        <is>
          <t>Partially Effective</t>
        </is>
      </c>
      <c r="R27" s="2" t="n">
        <v>2</v>
      </c>
      <c r="S27" s="2" t="n">
        <v>3</v>
      </c>
      <c r="T27" s="2">
        <f>R27*S27</f>
        <v/>
      </c>
      <c r="U27" s="2">
        <f>IF(T27&lt;=4,"Low",IF(T27&lt;=9,"Medium",IF(T27&lt;=16,"High","Critical")))</f>
        <v/>
      </c>
      <c r="V27" s="2" t="inlineStr">
        <is>
          <t>Mitigate</t>
        </is>
      </c>
      <c r="W27" s="2" t="inlineStr">
        <is>
          <t>Deploy warm-standby infrastructure in AWS eu-central-1 (or ap-southeast-1) with RDS cross-region read replicas.</t>
        </is>
      </c>
      <c r="X27" s="2" t="inlineStr">
        <is>
          <t>2026-12-31</t>
        </is>
      </c>
      <c r="Y27" s="2" t="inlineStr">
        <is>
          <t>Open</t>
        </is>
      </c>
      <c r="Z27" s="2" t="inlineStr">
        <is>
          <t>Semi-Annually</t>
        </is>
      </c>
    </row>
    <row r="28">
      <c r="A28" s="2" t="inlineStr">
        <is>
          <t>RISK-027</t>
        </is>
      </c>
      <c r="B28" s="2" t="inlineStr">
        <is>
          <t>Core Transaction Settlement Processing System Outage</t>
        </is>
      </c>
      <c r="C28" s="2" t="inlineStr">
        <is>
          <t>Settlement processing microservice crashes under peak transaction volume, delaying merchant payouts.</t>
        </is>
      </c>
      <c r="D28" s="2" t="inlineStr">
        <is>
          <t>Settlement Operations</t>
        </is>
      </c>
      <c r="E28" s="2" t="inlineStr">
        <is>
          <t>Settlement Microservice</t>
        </is>
      </c>
      <c r="F28" s="2" t="inlineStr">
        <is>
          <t>System Degradation / Capacity Failure</t>
        </is>
      </c>
      <c r="G28" s="2" t="inlineStr">
        <is>
          <t>Lack of auto-scaling policies and queue consumer bottlenecks during peak hours</t>
        </is>
      </c>
      <c r="H28" s="2" t="inlineStr">
        <is>
          <t>Business / Operational Risk</t>
        </is>
      </c>
      <c r="I28" s="2" t="inlineStr">
        <is>
          <t>Head of Core Payments</t>
        </is>
      </c>
      <c r="J28" s="2" t="inlineStr">
        <is>
          <t>VP Operations</t>
        </is>
      </c>
      <c r="K28" s="2" t="inlineStr">
        <is>
          <t>Engineering</t>
        </is>
      </c>
      <c r="L28" s="2" t="n">
        <v>4</v>
      </c>
      <c r="M28" s="2" t="n">
        <v>4</v>
      </c>
      <c r="N28" s="2">
        <f>L28*M28</f>
        <v/>
      </c>
      <c r="O28" s="2">
        <f>IF(N28&lt;=4,"Low",IF(N28&lt;=9,"Medium",IF(N28&lt;=16,"High","Critical")))</f>
        <v/>
      </c>
      <c r="P28" s="2" t="inlineStr">
        <is>
          <t>CTRL-031, CTRL-022</t>
        </is>
      </c>
      <c r="Q28" s="2" t="inlineStr">
        <is>
          <t>Effective</t>
        </is>
      </c>
      <c r="R28" s="2" t="n">
        <v>2</v>
      </c>
      <c r="S28" s="2" t="n">
        <v>2</v>
      </c>
      <c r="T28" s="2">
        <f>R28*S28</f>
        <v/>
      </c>
      <c r="U28" s="2">
        <f>IF(T28&lt;=4,"Low",IF(T28&lt;=9,"Medium",IF(T28&lt;=16,"High","Critical")))</f>
        <v/>
      </c>
      <c r="V28" s="2" t="inlineStr">
        <is>
          <t>Mitigate</t>
        </is>
      </c>
      <c r="W28" s="2" t="inlineStr">
        <is>
          <t>Implement Kubernetes Horizontal Pod Autoscaler (HPA) and migrate settlement queue to AWS SQS FIFO.</t>
        </is>
      </c>
      <c r="X28" s="2" t="inlineStr">
        <is>
          <t>2026-09-30</t>
        </is>
      </c>
      <c r="Y28" s="2" t="inlineStr">
        <is>
          <t>In Progress</t>
        </is>
      </c>
      <c r="Z28" s="2" t="inlineStr">
        <is>
          <t>Quarterly</t>
        </is>
      </c>
    </row>
    <row r="29">
      <c r="A29" s="2" t="inlineStr">
        <is>
          <t>RISK-028</t>
        </is>
      </c>
      <c r="B29" s="2" t="inlineStr">
        <is>
          <t>Catastrophic Disaster Recovery Test Failure</t>
        </is>
      </c>
      <c r="C29" s="2" t="inlineStr">
        <is>
          <t>Disaster recovery failover test fails due to outdated DNS failover routing configuration and DB schema drift.</t>
        </is>
      </c>
      <c r="D29" s="2" t="inlineStr">
        <is>
          <t>Business Continuity</t>
        </is>
      </c>
      <c r="E29" s="2" t="inlineStr">
        <is>
          <t>DR Environment</t>
        </is>
      </c>
      <c r="F29" s="2" t="inlineStr">
        <is>
          <t>Business Continuity Failure</t>
        </is>
      </c>
      <c r="G29" s="2" t="inlineStr">
        <is>
          <t>DR environment schema not synchronized automatically with production database migrations</t>
        </is>
      </c>
      <c r="H29" s="2" t="inlineStr">
        <is>
          <t>Business / Operational Risk</t>
        </is>
      </c>
      <c r="I29" s="2" t="inlineStr">
        <is>
          <t>Head of Infrastructure</t>
        </is>
      </c>
      <c r="J29" s="2" t="inlineStr">
        <is>
          <t>CISO</t>
        </is>
      </c>
      <c r="K29" s="2" t="inlineStr">
        <is>
          <t>DevOps</t>
        </is>
      </c>
      <c r="L29" s="2" t="n">
        <v>3</v>
      </c>
      <c r="M29" s="2" t="n">
        <v>5</v>
      </c>
      <c r="N29" s="2">
        <f>L29*M29</f>
        <v/>
      </c>
      <c r="O29" s="2">
        <f>IF(N29&lt;=4,"Low",IF(N29&lt;=9,"Medium",IF(N29&lt;=16,"High","Critical")))</f>
        <v/>
      </c>
      <c r="P29" s="2" t="inlineStr">
        <is>
          <t>CTRL-032, CTRL-030</t>
        </is>
      </c>
      <c r="Q29" s="2" t="inlineStr">
        <is>
          <t>Ineffective</t>
        </is>
      </c>
      <c r="R29" s="2" t="n">
        <v>2</v>
      </c>
      <c r="S29" s="2" t="n">
        <v>3</v>
      </c>
      <c r="T29" s="2">
        <f>R29*S29</f>
        <v/>
      </c>
      <c r="U29" s="2">
        <f>IF(T29&lt;=4,"Low",IF(T29&lt;=9,"Medium",IF(T29&lt;=16,"High","Critical")))</f>
        <v/>
      </c>
      <c r="V29" s="2" t="inlineStr">
        <is>
          <t>Mitigate</t>
        </is>
      </c>
      <c r="W29" s="2" t="inlineStr">
        <is>
          <t>Automate DR schema replication via Liquibase and conduct quarterly unannounced DR failover drills.</t>
        </is>
      </c>
      <c r="X29" s="2" t="inlineStr">
        <is>
          <t>2026-11-15</t>
        </is>
      </c>
      <c r="Y29" s="2" t="inlineStr">
        <is>
          <t>Open</t>
        </is>
      </c>
      <c r="Z29" s="2" t="inlineStr">
        <is>
          <t>Semi-Annually</t>
        </is>
      </c>
    </row>
    <row r="30">
      <c r="A30" s="2" t="inlineStr">
        <is>
          <t>RISK-029</t>
        </is>
      </c>
      <c r="B30" s="2" t="inlineStr">
        <is>
          <t>Non-Compliance with RBI Payment Aggregator Guidelines</t>
        </is>
      </c>
      <c r="C30" s="2" t="inlineStr">
        <is>
          <t>Regulatory audit identifies non-compliance in merchant onboarding background verification and audit logging.</t>
        </is>
      </c>
      <c r="D30" s="2" t="inlineStr">
        <is>
          <t>Regulatory Compliance</t>
        </is>
      </c>
      <c r="E30" s="2" t="inlineStr">
        <is>
          <t>Merchant Onboarding Workflow</t>
        </is>
      </c>
      <c r="F30" s="2" t="inlineStr">
        <is>
          <t>Regulatory Sanctions / Fines / Suspension</t>
        </is>
      </c>
      <c r="G30" s="2" t="inlineStr">
        <is>
          <t>Manual compliance tracking and lack of centralized evidence repository for onboarding audits</t>
        </is>
      </c>
      <c r="H30" s="2" t="inlineStr">
        <is>
          <t>Business / Operational Risk</t>
        </is>
      </c>
      <c r="I30" s="2" t="inlineStr">
        <is>
          <t>Head of Compliance</t>
        </is>
      </c>
      <c r="J30" s="2" t="inlineStr">
        <is>
          <t>Legal Counsel</t>
        </is>
      </c>
      <c r="K30" s="2" t="inlineStr">
        <is>
          <t>Compliance</t>
        </is>
      </c>
      <c r="L30" s="2" t="n">
        <v>4</v>
      </c>
      <c r="M30" s="2" t="n">
        <v>5</v>
      </c>
      <c r="N30" s="2">
        <f>L30*M30</f>
        <v/>
      </c>
      <c r="O30" s="2">
        <f>IF(N30&lt;=4,"Low",IF(N30&lt;=9,"Medium",IF(N30&lt;=16,"High","Critical")))</f>
        <v/>
      </c>
      <c r="P30" s="2" t="inlineStr">
        <is>
          <t>CTRL-055, CTRL-048</t>
        </is>
      </c>
      <c r="Q30" s="2" t="inlineStr">
        <is>
          <t>Partially Effective</t>
        </is>
      </c>
      <c r="R30" s="2" t="n">
        <v>2</v>
      </c>
      <c r="S30" s="2" t="n">
        <v>3</v>
      </c>
      <c r="T30" s="2">
        <f>R30*S30</f>
        <v/>
      </c>
      <c r="U30" s="2">
        <f>IF(T30&lt;=4,"Low",IF(T30&lt;=9,"Medium",IF(T30&lt;=16,"High","Critical")))</f>
        <v/>
      </c>
      <c r="V30" s="2" t="inlineStr">
        <is>
          <t>Mitigate</t>
        </is>
      </c>
      <c r="W30" s="2" t="inlineStr">
        <is>
          <t>Implement automated merchant background check workflow and centralize compliance evidence in GRC platform.</t>
        </is>
      </c>
      <c r="X30" s="2" t="inlineStr">
        <is>
          <t>2026-09-30</t>
        </is>
      </c>
      <c r="Y30" s="2" t="inlineStr">
        <is>
          <t>In Progress</t>
        </is>
      </c>
      <c r="Z30" s="2" t="inlineStr">
        <is>
          <t>Monthly</t>
        </is>
      </c>
    </row>
    <row r="31">
      <c r="A31" s="2" t="inlineStr">
        <is>
          <t>RISK-030</t>
        </is>
      </c>
      <c r="B31" s="2" t="inlineStr">
        <is>
          <t>Unauthorized Production Changes Bypassing SDLC Approval</t>
        </is>
      </c>
      <c r="C31" s="2" t="inlineStr">
        <is>
          <t>Emergency hotfix deployed directly to production EKS cluster by developer bypassing GitHub pull request approval.</t>
        </is>
      </c>
      <c r="D31" s="2" t="inlineStr">
        <is>
          <t>Change Management</t>
        </is>
      </c>
      <c r="E31" s="2" t="inlineStr">
        <is>
          <t>Production Kubernetes Cluster</t>
        </is>
      </c>
      <c r="F31" s="2" t="inlineStr">
        <is>
          <t>Unauthorized Change / Unintended Outage</t>
        </is>
      </c>
      <c r="G31" s="2" t="inlineStr">
        <is>
          <t>Developer kubectl cluster-admin access enabled in production environment</t>
        </is>
      </c>
      <c r="H31" s="2" t="inlineStr">
        <is>
          <t>Business / Operational Risk</t>
        </is>
      </c>
      <c r="I31" s="2" t="inlineStr">
        <is>
          <t>Head of AppSec</t>
        </is>
      </c>
      <c r="J31" s="2" t="inlineStr">
        <is>
          <t>Head of Engineering</t>
        </is>
      </c>
      <c r="K31" s="2" t="inlineStr">
        <is>
          <t>DevOps</t>
        </is>
      </c>
      <c r="L31" s="2" t="n">
        <v>4</v>
      </c>
      <c r="M31" s="2" t="n">
        <v>4</v>
      </c>
      <c r="N31" s="2">
        <f>L31*M31</f>
        <v/>
      </c>
      <c r="O31" s="2">
        <f>IF(N31&lt;=4,"Low",IF(N31&lt;=9,"Medium",IF(N31&lt;=16,"High","Critical")))</f>
        <v/>
      </c>
      <c r="P31" s="2" t="inlineStr">
        <is>
          <t>CTRL-051, CTRL-033</t>
        </is>
      </c>
      <c r="Q31" s="2" t="inlineStr">
        <is>
          <t>Ineffective</t>
        </is>
      </c>
      <c r="R31" s="2" t="n">
        <v>1</v>
      </c>
      <c r="S31" s="2" t="n">
        <v>3</v>
      </c>
      <c r="T31" s="2">
        <f>R31*S31</f>
        <v/>
      </c>
      <c r="U31" s="2">
        <f>IF(T31&lt;=4,"Low",IF(T31&lt;=9,"Medium",IF(T31&lt;=16,"High","Critical")))</f>
        <v/>
      </c>
      <c r="V31" s="2" t="inlineStr">
        <is>
          <t>Mitigate</t>
        </is>
      </c>
      <c r="W31" s="2" t="inlineStr">
        <is>
          <t>Revoke developer kubectl direct access; enforce GitOps deployment model via ArgoCD requiring 2 PR approvals.</t>
        </is>
      </c>
      <c r="X31" s="2" t="inlineStr">
        <is>
          <t>2026-09-15</t>
        </is>
      </c>
      <c r="Y31" s="2" t="inlineStr">
        <is>
          <t>In Progress</t>
        </is>
      </c>
      <c r="Z31" s="2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