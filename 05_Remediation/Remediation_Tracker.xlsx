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9" customWidth="1" min="2" max="2"/>
    <col width="49" customWidth="1" min="3" max="3"/>
    <col width="22" customWidth="1" min="4" max="4"/>
    <col width="12" customWidth="1" min="5" max="5"/>
    <col width="14" customWidth="1" min="6" max="6"/>
    <col width="12" customWidth="1" min="7" max="7"/>
    <col width="49" customWidth="1" min="8" max="8"/>
    <col width="49" customWidth="1" min="9" max="9"/>
    <col width="49" customWidth="1" min="10" max="10"/>
    <col width="19" customWidth="1" min="11" max="11"/>
    <col width="15" customWidth="1" min="12" max="12"/>
    <col width="17" customWidth="1" min="13" max="13"/>
    <col width="14" customWidth="1" min="14" max="14"/>
    <col width="15" customWidth="1" min="15" max="15"/>
    <col width="12" customWidth="1" min="16" max="16"/>
    <col width="49" customWidth="1" min="17" max="17"/>
    <col width="22" customWidth="1" min="18" max="18"/>
    <col width="19" customWidth="1" min="19" max="19"/>
    <col width="17" customWidth="1" min="20" max="20"/>
    <col width="16" customWidth="1" min="21" max="21"/>
    <col width="38" customWidth="1" min="22" max="22"/>
    <col width="49" customWidth="1" min="23" max="23"/>
  </cols>
  <sheetData>
    <row r="1" ht="28" customHeight="1">
      <c r="A1" s="1" t="inlineStr">
        <is>
          <t>Finding ID</t>
        </is>
      </c>
      <c r="B1" s="1" t="inlineStr">
        <is>
          <t>Finding Title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Risk ID</t>
        </is>
      </c>
      <c r="F1" s="1" t="inlineStr">
        <is>
          <t>Control ID</t>
        </is>
      </c>
      <c r="G1" s="1" t="inlineStr">
        <is>
          <t>Severity</t>
        </is>
      </c>
      <c r="H1" s="1" t="inlineStr">
        <is>
          <t>Business Impact</t>
        </is>
      </c>
      <c r="I1" s="1" t="inlineStr">
        <is>
          <t>Root Cause</t>
        </is>
      </c>
      <c r="J1" s="1" t="inlineStr">
        <is>
          <t>Remediation Action Plan</t>
        </is>
      </c>
      <c r="K1" s="1" t="inlineStr">
        <is>
          <t>Owner</t>
        </is>
      </c>
      <c r="L1" s="1" t="inlineStr">
        <is>
          <t>Department</t>
        </is>
      </c>
      <c r="M1" s="1" t="inlineStr">
        <is>
          <t>Assigned Date</t>
        </is>
      </c>
      <c r="N1" s="1" t="inlineStr">
        <is>
          <t>Due Date</t>
        </is>
      </c>
      <c r="O1" s="1" t="inlineStr">
        <is>
          <t>Status</t>
        </is>
      </c>
      <c r="P1" s="1" t="inlineStr">
        <is>
          <t>Priority</t>
        </is>
      </c>
      <c r="Q1" s="1" t="inlineStr">
        <is>
          <t>Evidence Required</t>
        </is>
      </c>
      <c r="R1" s="1" t="inlineStr">
        <is>
          <t>Evidence Submitted</t>
        </is>
      </c>
      <c r="S1" s="1" t="inlineStr">
        <is>
          <t>Retest Required</t>
        </is>
      </c>
      <c r="T1" s="1" t="inlineStr">
        <is>
          <t>Retest Result</t>
        </is>
      </c>
      <c r="U1" s="1" t="inlineStr">
        <is>
          <t>Closure Date</t>
        </is>
      </c>
      <c r="V1" s="1" t="inlineStr">
        <is>
          <t>Aging Days</t>
        </is>
      </c>
      <c r="W1" s="1" t="inlineStr">
        <is>
          <t>Overdue Flag</t>
        </is>
      </c>
    </row>
    <row r="2">
      <c r="A2" s="2" t="inlineStr">
        <is>
          <t>FIND-001</t>
        </is>
      </c>
      <c r="B2" s="2" t="inlineStr">
        <is>
          <t>Public PostgreSQL Ingress Rule in Staging Security Group</t>
        </is>
      </c>
      <c r="C2" s="2" t="inlineStr">
        <is>
          <t>AWS Security Group sg-049a8f21 allowed 0.0.0.0/0 ingress on port 5432.</t>
        </is>
      </c>
      <c r="D2" s="2" t="inlineStr">
        <is>
          <t>Control Testing</t>
        </is>
      </c>
      <c r="E2" s="2" t="inlineStr">
        <is>
          <t>RISK-016</t>
        </is>
      </c>
      <c r="F2" s="2" t="inlineStr">
        <is>
          <t>CTRL-042</t>
        </is>
      </c>
      <c r="G2" s="2" t="inlineStr">
        <is>
          <t>High</t>
        </is>
      </c>
      <c r="H2" s="2" t="inlineStr">
        <is>
          <t>Risk of database brute force and unauthorized access.</t>
        </is>
      </c>
      <c r="I2" s="2" t="inlineStr">
        <is>
          <t>Troubleshooting rule left active by contractor.</t>
        </is>
      </c>
      <c r="J2" s="2" t="inlineStr">
        <is>
          <t>Revoke 0.0.0.0/0 rule and restrict ingress to staging VPC CIDR.</t>
        </is>
      </c>
      <c r="K2" s="2" t="inlineStr">
        <is>
          <t>Anil Mehta</t>
        </is>
      </c>
      <c r="L2" s="2" t="inlineStr">
        <is>
          <t>Cloud Ops</t>
        </is>
      </c>
      <c r="M2" s="2" t="inlineStr">
        <is>
          <t>2026-07-01</t>
        </is>
      </c>
      <c r="N2" s="2" t="inlineStr">
        <is>
          <t>2026-07-15</t>
        </is>
      </c>
      <c r="O2" s="2" t="inlineStr">
        <is>
          <t>Closed</t>
        </is>
      </c>
      <c r="P2" s="2" t="inlineStr">
        <is>
          <t>High</t>
        </is>
      </c>
      <c r="Q2" s="2" t="inlineStr">
        <is>
          <t>AWS Security Group Ingress Rule Config</t>
        </is>
      </c>
      <c r="R2" s="2" t="inlineStr">
        <is>
          <t>EVID-042</t>
        </is>
      </c>
      <c r="S2" s="2" t="inlineStr">
        <is>
          <t>Yes</t>
        </is>
      </c>
      <c r="T2" s="2" t="inlineStr">
        <is>
          <t>Pass</t>
        </is>
      </c>
      <c r="U2" s="2" t="inlineStr">
        <is>
          <t>2026-07-10</t>
        </is>
      </c>
      <c r="V2" s="2">
        <f>IF(U2&lt;&gt;"", U2-M2, TODAY()-M2)</f>
        <v/>
      </c>
      <c r="W2" s="2">
        <f>IF(AND(O2&lt;&gt;"Closed", O2&lt;&gt;"Risk Accepted", TODAY()&gt;N2), "OVERDUE", "OK")</f>
        <v/>
      </c>
    </row>
    <row r="3">
      <c r="A3" s="2" t="inlineStr">
        <is>
          <t>FIND-002</t>
        </is>
      </c>
      <c r="B3" s="2" t="inlineStr">
        <is>
          <t>Static IAM Passwords Used for Direct AWS Console Access</t>
        </is>
      </c>
      <c r="C3" s="2" t="inlineStr">
        <is>
          <t>3 DevOps engineers logged into AWS Console using static IAM passwords instead of Teleport PAM SSO.</t>
        </is>
      </c>
      <c r="D3" s="2" t="inlineStr">
        <is>
          <t>Control Testing</t>
        </is>
      </c>
      <c r="E3" s="2" t="inlineStr">
        <is>
          <t>RISK-002</t>
        </is>
      </c>
      <c r="F3" s="2" t="inlineStr">
        <is>
          <t>CTRL-004</t>
        </is>
      </c>
      <c r="G3" s="2" t="inlineStr">
        <is>
          <t>High</t>
        </is>
      </c>
      <c r="H3" s="2" t="inlineStr">
        <is>
          <t>Increased risk of credential theft and unmonitored privileged access.</t>
        </is>
      </c>
      <c r="I3" s="2" t="inlineStr">
        <is>
          <t>Legacy IAM user console access left enabled.</t>
        </is>
      </c>
      <c r="J3" s="2" t="inlineStr">
        <is>
          <t>Disable console passwords for IAM users; mandate Teleport SSO.</t>
        </is>
      </c>
      <c r="K3" s="2" t="inlineStr">
        <is>
          <t>Suresh Nair</t>
        </is>
      </c>
      <c r="L3" s="2" t="inlineStr">
        <is>
          <t>IT Ops</t>
        </is>
      </c>
      <c r="M3" s="2" t="inlineStr">
        <is>
          <t>2026-07-14</t>
        </is>
      </c>
      <c r="N3" s="2" t="inlineStr">
        <is>
          <t>2026-08-01</t>
        </is>
      </c>
      <c r="O3" s="2" t="inlineStr">
        <is>
          <t>Closed</t>
        </is>
      </c>
      <c r="P3" s="2" t="inlineStr">
        <is>
          <t>High</t>
        </is>
      </c>
      <c r="Q3" s="2" t="inlineStr">
        <is>
          <t>AWS IAM Credential Report &amp; Teleport Log</t>
        </is>
      </c>
      <c r="R3" s="2" t="inlineStr">
        <is>
          <t>EVID-004</t>
        </is>
      </c>
      <c r="S3" s="2" t="inlineStr">
        <is>
          <t>Yes</t>
        </is>
      </c>
      <c r="T3" s="2" t="inlineStr">
        <is>
          <t>Pass</t>
        </is>
      </c>
      <c r="U3" s="2" t="inlineStr">
        <is>
          <t>2026-07-28</t>
        </is>
      </c>
      <c r="V3" s="2">
        <f>IF(U3&lt;&gt;"", U3-M3, TODAY()-M3)</f>
        <v/>
      </c>
      <c r="W3" s="2">
        <f>IF(AND(O3&lt;&gt;"Closed", O3&lt;&gt;"Risk Accepted", TODAY()&gt;N3), "OVERDUE", "OK")</f>
        <v/>
      </c>
    </row>
    <row r="4">
      <c r="A4" s="2" t="inlineStr">
        <is>
          <t>FIND-003</t>
        </is>
      </c>
      <c r="B4" s="2" t="inlineStr">
        <is>
          <t>Overdue Critical Kernel Patches on Analytics EC2 Instance Fleet</t>
        </is>
      </c>
      <c r="C4" s="2" t="inlineStr">
        <is>
          <t>8 EC2 instances running legacy analytics microservices lacked critical Linux kernel patches for &gt;14 days.</t>
        </is>
      </c>
      <c r="D4" s="2" t="inlineStr">
        <is>
          <t>Vulnerability Scan</t>
        </is>
      </c>
      <c r="E4" s="2" t="inlineStr">
        <is>
          <t>RISK-005</t>
        </is>
      </c>
      <c r="F4" s="2" t="inlineStr">
        <is>
          <t>CTRL-015</t>
        </is>
      </c>
      <c r="G4" s="2" t="inlineStr">
        <is>
          <t>High</t>
        </is>
      </c>
      <c r="H4" s="2" t="inlineStr">
        <is>
          <t>Exposes instance fleet to remote code execution exploit.</t>
        </is>
      </c>
      <c r="I4" s="2" t="inlineStr">
        <is>
          <t>Instances excluded from automated SSM patch baseline group.</t>
        </is>
      </c>
      <c r="J4" s="2" t="inlineStr">
        <is>
          <t>Include instances in SSM Patch Group and apply security kernel update.</t>
        </is>
      </c>
      <c r="K4" s="2" t="inlineStr">
        <is>
          <t>Amit Patel</t>
        </is>
      </c>
      <c r="L4" s="2" t="inlineStr">
        <is>
          <t>DevOps</t>
        </is>
      </c>
      <c r="M4" s="2" t="inlineStr">
        <is>
          <t>2026-07-15</t>
        </is>
      </c>
      <c r="N4" s="2" t="inlineStr">
        <is>
          <t>2026-07-30</t>
        </is>
      </c>
      <c r="O4" s="2" t="inlineStr">
        <is>
          <t>Open</t>
        </is>
      </c>
      <c r="P4" s="2" t="inlineStr">
        <is>
          <t>High</t>
        </is>
      </c>
      <c r="Q4" s="2" t="inlineStr">
        <is>
          <t>AWS SSM Patch Baseline Compliance Report</t>
        </is>
      </c>
      <c r="R4" s="2" t="inlineStr">
        <is>
          <t>Pending</t>
        </is>
      </c>
      <c r="S4" s="2" t="inlineStr">
        <is>
          <t>Yes</t>
        </is>
      </c>
      <c r="T4" s="2" t="inlineStr">
        <is>
          <t>Pending</t>
        </is>
      </c>
      <c r="U4" s="2" t="inlineStr"/>
      <c r="V4" s="2">
        <f>IF(U4&lt;&gt;"", U4-M4, TODAY()-M4)</f>
        <v/>
      </c>
      <c r="W4" s="2">
        <f>IF(AND(O4&lt;&gt;"Closed", O4&lt;&gt;"Risk Accepted", TODAY()&gt;N4), "OVERDUE", "OK")</f>
        <v/>
      </c>
    </row>
    <row r="5">
      <c r="A5" s="2" t="inlineStr">
        <is>
          <t>FIND-004</t>
        </is>
      </c>
      <c r="B5" s="2" t="inlineStr">
        <is>
          <t>BOLA Authorization Vulnerability in Customer Account API Endpoint</t>
        </is>
      </c>
      <c r="C5" s="2" t="inlineStr">
        <is>
          <t>GET /api/v1/account/{id}/details endpoint failed to verify if requested account ID belonged to caller token.</t>
        </is>
      </c>
      <c r="D5" s="2" t="inlineStr">
        <is>
          <t>Pentest</t>
        </is>
      </c>
      <c r="E5" s="2" t="inlineStr">
        <is>
          <t>RISK-008</t>
        </is>
      </c>
      <c r="F5" s="2" t="inlineStr">
        <is>
          <t>CTRL-038</t>
        </is>
      </c>
      <c r="G5" s="2" t="inlineStr">
        <is>
          <t>Critical</t>
        </is>
      </c>
      <c r="H5" s="2" t="inlineStr">
        <is>
          <t>Potential unauthorized access to customer account details and bank account numbers.</t>
        </is>
      </c>
      <c r="I5" s="2" t="inlineStr">
        <is>
          <t>Missing object-level ownership check middleware.</t>
        </is>
      </c>
      <c r="J5" s="2" t="inlineStr">
        <is>
          <t>Deploy object-level authorization filter on Kong API Gateway.</t>
        </is>
      </c>
      <c r="K5" s="2" t="inlineStr">
        <is>
          <t>Vikram Malhotra</t>
        </is>
      </c>
      <c r="L5" s="2" t="inlineStr">
        <is>
          <t>Engineering</t>
        </is>
      </c>
      <c r="M5" s="2" t="inlineStr">
        <is>
          <t>2026-07-20</t>
        </is>
      </c>
      <c r="N5" s="2" t="inlineStr">
        <is>
          <t>2026-08-05</t>
        </is>
      </c>
      <c r="O5" s="2" t="inlineStr">
        <is>
          <t>In Progress</t>
        </is>
      </c>
      <c r="P5" s="2" t="inlineStr">
        <is>
          <t>Critical</t>
        </is>
      </c>
      <c r="Q5" s="2" t="inlineStr">
        <is>
          <t>Kong Authorization Config &amp; DAST Test Log</t>
        </is>
      </c>
      <c r="R5" s="2" t="inlineStr">
        <is>
          <t>Pending</t>
        </is>
      </c>
      <c r="S5" s="2" t="inlineStr">
        <is>
          <t>Yes</t>
        </is>
      </c>
      <c r="T5" s="2" t="inlineStr">
        <is>
          <t>Pending</t>
        </is>
      </c>
      <c r="U5" s="2" t="inlineStr"/>
      <c r="V5" s="2">
        <f>IF(U5&lt;&gt;"", U5-M5, TODAY()-M5)</f>
        <v/>
      </c>
      <c r="W5" s="2">
        <f>IF(AND(O5&lt;&gt;"Closed", O5&lt;&gt;"Risk Accepted", TODAY()&gt;N5), "OVERDUE", "OK")</f>
        <v/>
      </c>
    </row>
    <row r="6">
      <c r="A6" s="2" t="inlineStr">
        <is>
          <t>FIND-005</t>
        </is>
      </c>
      <c r="B6" s="2" t="inlineStr">
        <is>
          <t>Expired SOC 2 Type II Report for Primary SMS Gateway Vendor</t>
        </is>
      </c>
      <c r="C6" s="2" t="inlineStr">
        <is>
          <t>SMS vendor Gupshup SOC 2 report expired in March 2026; no updated attestation collected.</t>
        </is>
      </c>
      <c r="D6" s="2" t="inlineStr">
        <is>
          <t>Vendor Assessment</t>
        </is>
      </c>
      <c r="E6" s="2" t="inlineStr">
        <is>
          <t>RISK-025</t>
        </is>
      </c>
      <c r="F6" s="2" t="inlineStr">
        <is>
          <t>CTRL-050</t>
        </is>
      </c>
      <c r="G6" s="2" t="inlineStr">
        <is>
          <t>Medium</t>
        </is>
      </c>
      <c r="H6" s="2" t="inlineStr">
        <is>
          <t>Lack of assurance regarding vendor security controls.</t>
        </is>
      </c>
      <c r="I6" s="2" t="inlineStr">
        <is>
          <t>Vendor risk review tracking gap.</t>
        </is>
      </c>
      <c r="J6" s="2" t="inlineStr">
        <is>
          <t>Request updated 2026 SOC 2 Type II report or execute vendor questionnaire.</t>
        </is>
      </c>
      <c r="K6" s="2" t="inlineStr">
        <is>
          <t>Suresh Nair</t>
        </is>
      </c>
      <c r="L6" s="2" t="inlineStr">
        <is>
          <t>IT Ops</t>
        </is>
      </c>
      <c r="M6" s="2" t="inlineStr">
        <is>
          <t>2026-07-05</t>
        </is>
      </c>
      <c r="N6" s="2" t="inlineStr">
        <is>
          <t>2026-07-25</t>
        </is>
      </c>
      <c r="O6" s="2" t="inlineStr">
        <is>
          <t>In Progress</t>
        </is>
      </c>
      <c r="P6" s="2" t="inlineStr">
        <is>
          <t>Medium</t>
        </is>
      </c>
      <c r="Q6" s="2" t="inlineStr">
        <is>
          <t>Vendor SOC 2 Type II Report 2026</t>
        </is>
      </c>
      <c r="R6" s="2" t="inlineStr">
        <is>
          <t>Pending</t>
        </is>
      </c>
      <c r="S6" s="2" t="inlineStr">
        <is>
          <t>No</t>
        </is>
      </c>
      <c r="T6" s="2" t="inlineStr">
        <is>
          <t>N/A</t>
        </is>
      </c>
      <c r="U6" s="2" t="inlineStr"/>
      <c r="V6" s="2">
        <f>IF(U6&lt;&gt;"", U6-M6, TODAY()-M6)</f>
        <v/>
      </c>
      <c r="W6" s="2">
        <f>IF(AND(O6&lt;&gt;"Closed", O6&lt;&gt;"Risk Accepted", TODAY()&gt;N6), "OVERDUE", "OK")</f>
        <v/>
      </c>
    </row>
    <row r="7">
      <c r="A7" s="2" t="inlineStr">
        <is>
          <t>FIND-006</t>
        </is>
      </c>
      <c r="B7" s="2" t="inlineStr">
        <is>
          <t>Catastrophic Disaster Recovery Test Failure Due to Schema Drift</t>
        </is>
      </c>
      <c r="C7" s="2" t="inlineStr">
        <is>
          <t>DR failover test failed because DR database schema was out of sync with production migrations.</t>
        </is>
      </c>
      <c r="D7" s="2" t="inlineStr">
        <is>
          <t>DR Drill</t>
        </is>
      </c>
      <c r="E7" s="2" t="inlineStr">
        <is>
          <t>RISK-028</t>
        </is>
      </c>
      <c r="F7" s="2" t="inlineStr">
        <is>
          <t>CTRL-032</t>
        </is>
      </c>
      <c r="G7" s="2" t="inlineStr">
        <is>
          <t>High</t>
        </is>
      </c>
      <c r="H7" s="2" t="inlineStr">
        <is>
          <t>Extended operational outage during regional disaster.</t>
        </is>
      </c>
      <c r="I7" s="2" t="inlineStr">
        <is>
          <t>Lack of automated schema replication in DR pipeline.</t>
        </is>
      </c>
      <c r="J7" s="2" t="inlineStr">
        <is>
          <t>Automate DR schema migrations via Liquibase in CI/CD pipeline.</t>
        </is>
      </c>
      <c r="K7" s="2" t="inlineStr">
        <is>
          <t>Amit Patel</t>
        </is>
      </c>
      <c r="L7" s="2" t="inlineStr">
        <is>
          <t>DevOps</t>
        </is>
      </c>
      <c r="M7" s="2" t="inlineStr">
        <is>
          <t>2026-07-10</t>
        </is>
      </c>
      <c r="N7" s="2" t="inlineStr">
        <is>
          <t>2026-08-10</t>
        </is>
      </c>
      <c r="O7" s="2" t="inlineStr">
        <is>
          <t>In Progress</t>
        </is>
      </c>
      <c r="P7" s="2" t="inlineStr">
        <is>
          <t>High</t>
        </is>
      </c>
      <c r="Q7" s="2" t="inlineStr">
        <is>
          <t>Liquibase Pipeline Execution Log &amp; DR Test Summary</t>
        </is>
      </c>
      <c r="R7" s="2" t="inlineStr">
        <is>
          <t>Pending</t>
        </is>
      </c>
      <c r="S7" s="2" t="inlineStr">
        <is>
          <t>Yes</t>
        </is>
      </c>
      <c r="T7" s="2" t="inlineStr">
        <is>
          <t>Pending</t>
        </is>
      </c>
      <c r="U7" s="2" t="inlineStr"/>
      <c r="V7" s="2">
        <f>IF(U7&lt;&gt;"", U7-M7, TODAY()-M7)</f>
        <v/>
      </c>
      <c r="W7" s="2">
        <f>IF(AND(O7&lt;&gt;"Closed", O7&lt;&gt;"Risk Accepted", TODAY()&gt;N7), "OVERDUE", "OK")</f>
        <v/>
      </c>
    </row>
    <row r="8">
      <c r="A8" s="2" t="inlineStr">
        <is>
          <t>FIND-007</t>
        </is>
      </c>
      <c r="B8" s="2" t="inlineStr">
        <is>
          <t>Overly Permissive AdministratorAccess Role Attached to Staging EC2</t>
        </is>
      </c>
      <c r="C8" s="2" t="inlineStr">
        <is>
          <t>3 staging EC2 instances attached IAM role containing inline AdministratorAccess policy.</t>
        </is>
      </c>
      <c r="D8" s="2" t="inlineStr">
        <is>
          <t>Cloud Audit</t>
        </is>
      </c>
      <c r="E8" s="2" t="inlineStr">
        <is>
          <t>RISK-015</t>
        </is>
      </c>
      <c r="F8" s="2" t="inlineStr">
        <is>
          <t>CTRL-040</t>
        </is>
      </c>
      <c r="G8" s="2" t="inlineStr">
        <is>
          <t>High</t>
        </is>
      </c>
      <c r="H8" s="2" t="inlineStr">
        <is>
          <t>Risk of full cloud account compromise if instance compromised.</t>
        </is>
      </c>
      <c r="I8" s="2" t="inlineStr">
        <is>
          <t>Inline policy attached during initial POC and never removed.</t>
        </is>
      </c>
      <c r="J8" s="2" t="inlineStr">
        <is>
          <t>Detach AdministratorAccess; attach minimal IAM policy generated by Access Analyzer.</t>
        </is>
      </c>
      <c r="K8" s="2" t="inlineStr">
        <is>
          <t>Anil Mehta</t>
        </is>
      </c>
      <c r="L8" s="2" t="inlineStr">
        <is>
          <t>Cloud Ops</t>
        </is>
      </c>
      <c r="M8" s="2" t="inlineStr">
        <is>
          <t>2026-07-08</t>
        </is>
      </c>
      <c r="N8" s="2" t="inlineStr">
        <is>
          <t>2026-07-22</t>
        </is>
      </c>
      <c r="O8" s="2" t="inlineStr">
        <is>
          <t>Closed</t>
        </is>
      </c>
      <c r="P8" s="2" t="inlineStr">
        <is>
          <t>High</t>
        </is>
      </c>
      <c r="Q8" s="2" t="inlineStr">
        <is>
          <t>AWS IAM Role Policy Configuration</t>
        </is>
      </c>
      <c r="R8" s="2" t="inlineStr">
        <is>
          <t>EVID-040</t>
        </is>
      </c>
      <c r="S8" s="2" t="inlineStr">
        <is>
          <t>Yes</t>
        </is>
      </c>
      <c r="T8" s="2" t="inlineStr">
        <is>
          <t>Pass</t>
        </is>
      </c>
      <c r="U8" s="2" t="inlineStr">
        <is>
          <t>2026-07-20</t>
        </is>
      </c>
      <c r="V8" s="2">
        <f>IF(U8&lt;&gt;"", U8-M8, TODAY()-M8)</f>
        <v/>
      </c>
      <c r="W8" s="2">
        <f>IF(AND(O8&lt;&gt;"Closed", O8&lt;&gt;"Risk Accepted", TODAY()&gt;N8), "OVERDUE", "OK")</f>
        <v/>
      </c>
    </row>
    <row r="9">
      <c r="A9" s="2" t="inlineStr">
        <is>
          <t>FIND-008</t>
        </is>
      </c>
      <c r="B9" s="2" t="inlineStr">
        <is>
          <t>AWS CloudTrail Logging Disabled in Secondary Region ap-southeast-1</t>
        </is>
      </c>
      <c r="C9" s="2" t="inlineStr">
        <is>
          <t>CloudTrail logging was inadvertently disabled in ap-southeast-1 region during cloud account migration.</t>
        </is>
      </c>
      <c r="D9" s="2" t="inlineStr">
        <is>
          <t>Internal Audit</t>
        </is>
      </c>
      <c r="E9" s="2" t="inlineStr">
        <is>
          <t>RISK-018</t>
        </is>
      </c>
      <c r="F9" s="2" t="inlineStr">
        <is>
          <t>CTRL-018</t>
        </is>
      </c>
      <c r="G9" s="2" t="inlineStr">
        <is>
          <t>High</t>
        </is>
      </c>
      <c r="H9" s="2" t="inlineStr">
        <is>
          <t>Inability to detect malicious activity or perform forensics in secondary region.</t>
        </is>
      </c>
      <c r="I9" s="2" t="inlineStr">
        <is>
          <t>Terraform multi-region flag misconfigured.</t>
        </is>
      </c>
      <c r="J9" s="2" t="inlineStr">
        <is>
          <t>Update Terraform template to enable multi-region CloudTrail logging.</t>
        </is>
      </c>
      <c r="K9" s="2" t="inlineStr">
        <is>
          <t>Anil Mehta</t>
        </is>
      </c>
      <c r="L9" s="2" t="inlineStr">
        <is>
          <t>Cloud Ops</t>
        </is>
      </c>
      <c r="M9" s="2" t="inlineStr">
        <is>
          <t>2026-07-12</t>
        </is>
      </c>
      <c r="N9" s="2" t="inlineStr">
        <is>
          <t>2026-07-27</t>
        </is>
      </c>
      <c r="O9" s="2" t="inlineStr">
        <is>
          <t>Closed</t>
        </is>
      </c>
      <c r="P9" s="2" t="inlineStr">
        <is>
          <t>High</t>
        </is>
      </c>
      <c r="Q9" s="2" t="inlineStr">
        <is>
          <t>AWS CloudTrail Status Command Output</t>
        </is>
      </c>
      <c r="R9" s="2" t="inlineStr">
        <is>
          <t>EVID-018</t>
        </is>
      </c>
      <c r="S9" s="2" t="inlineStr">
        <is>
          <t>Yes</t>
        </is>
      </c>
      <c r="T9" s="2" t="inlineStr">
        <is>
          <t>Pass</t>
        </is>
      </c>
      <c r="U9" s="2" t="inlineStr">
        <is>
          <t>2026-07-25</t>
        </is>
      </c>
      <c r="V9" s="2">
        <f>IF(U9&lt;&gt;"", U9-M9, TODAY()-M9)</f>
        <v/>
      </c>
      <c r="W9" s="2">
        <f>IF(AND(O9&lt;&gt;"Closed", O9&lt;&gt;"Risk Accepted", TODAY()&gt;N9), "OVERDUE", "OK")</f>
        <v/>
      </c>
    </row>
    <row r="10">
      <c r="A10" s="2" t="inlineStr">
        <is>
          <t>FIND-009</t>
        </is>
      </c>
      <c r="B10" s="2" t="inlineStr">
        <is>
          <t>Delayed Access Revocation for Terminated Contractor Accounts</t>
        </is>
      </c>
      <c r="C10" s="2" t="inlineStr">
        <is>
          <t>2 contractor accounts remained active in GitHub organisation 5 days after contract end date.</t>
        </is>
      </c>
      <c r="D10" s="2" t="inlineStr">
        <is>
          <t>Control Testing</t>
        </is>
      </c>
      <c r="E10" s="2" t="inlineStr">
        <is>
          <t>RISK-006</t>
        </is>
      </c>
      <c r="F10" s="2" t="inlineStr">
        <is>
          <t>CTRL-005</t>
        </is>
      </c>
      <c r="G10" s="2" t="inlineStr">
        <is>
          <t>Medium</t>
        </is>
      </c>
      <c r="H10" s="2" t="inlineStr">
        <is>
          <t>Risk of unauthorized source code access or exfiltration.</t>
        </is>
      </c>
      <c r="I10" s="2" t="inlineStr">
        <is>
          <t>Contractor termination not flagged in HRIS system.</t>
        </is>
      </c>
      <c r="J10" s="2" t="inlineStr">
        <is>
          <t>Integrate BambooHR contractor end dates into Okta automated deprovisioning workflow.</t>
        </is>
      </c>
      <c r="K10" s="2" t="inlineStr">
        <is>
          <t>Suresh Nair</t>
        </is>
      </c>
      <c r="L10" s="2" t="inlineStr">
        <is>
          <t>IT Ops</t>
        </is>
      </c>
      <c r="M10" s="2" t="inlineStr">
        <is>
          <t>2026-07-15</t>
        </is>
      </c>
      <c r="N10" s="2" t="inlineStr">
        <is>
          <t>2026-08-01</t>
        </is>
      </c>
      <c r="O10" s="2" t="inlineStr">
        <is>
          <t>Closed</t>
        </is>
      </c>
      <c r="P10" s="2" t="inlineStr">
        <is>
          <t>Medium</t>
        </is>
      </c>
      <c r="Q10" s="2" t="inlineStr">
        <is>
          <t>GitHub Member Audit Log &amp; Deprovisioning Timestamp</t>
        </is>
      </c>
      <c r="R10" s="2" t="inlineStr">
        <is>
          <t>EVID-005</t>
        </is>
      </c>
      <c r="S10" s="2" t="inlineStr">
        <is>
          <t>Yes</t>
        </is>
      </c>
      <c r="T10" s="2" t="inlineStr">
        <is>
          <t>Pass</t>
        </is>
      </c>
      <c r="U10" s="2" t="inlineStr">
        <is>
          <t>2026-07-30</t>
        </is>
      </c>
      <c r="V10" s="2">
        <f>IF(U10&lt;&gt;"", U10-M10, TODAY()-M10)</f>
        <v/>
      </c>
      <c r="W10" s="2">
        <f>IF(AND(O10&lt;&gt;"Closed", O10&lt;&gt;"Risk Accepted", TODAY()&gt;N10), "OVERDUE", "OK")</f>
        <v/>
      </c>
    </row>
    <row r="11">
      <c r="A11" s="2" t="inlineStr">
        <is>
          <t>FIND-010</t>
        </is>
      </c>
      <c r="B11" s="2" t="inlineStr">
        <is>
          <t>Production Deployments Executed Directly via kubectl Bypassing CAB</t>
        </is>
      </c>
      <c r="C11" s="2" t="inlineStr">
        <is>
          <t>3 hotfixes deployed to production EKS cluster directly via developer kubectl credentials bypassing Jira CAB.</t>
        </is>
      </c>
      <c r="D11" s="2" t="inlineStr">
        <is>
          <t>Internal Audit</t>
        </is>
      </c>
      <c r="E11" s="2" t="inlineStr">
        <is>
          <t>RISK-030</t>
        </is>
      </c>
      <c r="F11" s="2" t="inlineStr">
        <is>
          <t>CTRL-051</t>
        </is>
      </c>
      <c r="G11" s="2" t="inlineStr">
        <is>
          <t>High</t>
        </is>
      </c>
      <c r="H11" s="2" t="inlineStr">
        <is>
          <t>Unreviewed changes causing production instability or security vulnerabilities.</t>
        </is>
      </c>
      <c r="I11" s="2" t="inlineStr">
        <is>
          <t>Emergency break-glass permissions abused without post-incident RFC ticket.</t>
        </is>
      </c>
      <c r="J11" s="2" t="inlineStr">
        <is>
          <t>Revoke direct developer kubectl write permissions; mandate ArgoCD GitOps workflow.</t>
        </is>
      </c>
      <c r="K11" s="2" t="inlineStr">
        <is>
          <t>Amit Patel</t>
        </is>
      </c>
      <c r="L11" s="2" t="inlineStr">
        <is>
          <t>DevOps</t>
        </is>
      </c>
      <c r="M11" s="2" t="inlineStr">
        <is>
          <t>2026-07-18</t>
        </is>
      </c>
      <c r="N11" s="2" t="inlineStr">
        <is>
          <t>2026-08-05</t>
        </is>
      </c>
      <c r="O11" s="2" t="inlineStr">
        <is>
          <t>In Progress</t>
        </is>
      </c>
      <c r="P11" s="2" t="inlineStr">
        <is>
          <t>High</t>
        </is>
      </c>
      <c r="Q11" s="2" t="inlineStr">
        <is>
          <t>ArgoCD RBAC Policy &amp; EKS Cluster Role Binding Config</t>
        </is>
      </c>
      <c r="R11" s="2" t="inlineStr">
        <is>
          <t>Pending</t>
        </is>
      </c>
      <c r="S11" s="2" t="inlineStr">
        <is>
          <t>Yes</t>
        </is>
      </c>
      <c r="T11" s="2" t="inlineStr">
        <is>
          <t>Pending</t>
        </is>
      </c>
      <c r="U11" s="2" t="inlineStr"/>
      <c r="V11" s="2">
        <f>IF(U11&lt;&gt;"", U11-M11, TODAY()-M11)</f>
        <v/>
      </c>
      <c r="W11" s="2">
        <f>IF(AND(O11&lt;&gt;"Closed", O11&lt;&gt;"Risk Accepted", TODAY()&gt;N11), "OVERDUE", "OK")</f>
        <v/>
      </c>
    </row>
    <row r="12">
      <c r="A12" s="2" t="inlineStr">
        <is>
          <t>FIND-011</t>
        </is>
      </c>
      <c r="B12" s="2" t="inlineStr">
        <is>
          <t>Plain Text Aadhaar PII Printed in Application Microservice Debug Logs</t>
        </is>
      </c>
      <c r="C12" s="2" t="inlineStr">
        <is>
          <t>Payment microservice logged raw customer request payloads containing Aadhaar numbers to Datadog.</t>
        </is>
      </c>
      <c r="D12" s="2" t="inlineStr">
        <is>
          <t>Security Review</t>
        </is>
      </c>
      <c r="E12" s="2" t="inlineStr">
        <is>
          <t>RISK-019</t>
        </is>
      </c>
      <c r="F12" s="2" t="inlineStr">
        <is>
          <t>CTRL-011</t>
        </is>
      </c>
      <c r="G12" s="2" t="inlineStr">
        <is>
          <t>Critical</t>
        </is>
      </c>
      <c r="H12" s="2" t="inlineStr">
        <is>
          <t>Violation of DPDP Act privacy guidelines and risk of PII leak.</t>
        </is>
      </c>
      <c r="I12" s="2" t="inlineStr">
        <is>
          <t>Microservice debug logging left enabled in production environment.</t>
        </is>
      </c>
      <c r="J12" s="2" t="inlineStr">
        <is>
          <t>Deploy FluentBit regex log scrubbing and execute Datadog log sanitization.</t>
        </is>
      </c>
      <c r="K12" s="2" t="inlineStr">
        <is>
          <t>Deepak Joshi</t>
        </is>
      </c>
      <c r="L12" s="2" t="inlineStr">
        <is>
          <t>DevOps</t>
        </is>
      </c>
      <c r="M12" s="2" t="inlineStr">
        <is>
          <t>2026-07-22</t>
        </is>
      </c>
      <c r="N12" s="2" t="inlineStr">
        <is>
          <t>2026-08-05</t>
        </is>
      </c>
      <c r="O12" s="2" t="inlineStr">
        <is>
          <t>Closed</t>
        </is>
      </c>
      <c r="P12" s="2" t="inlineStr">
        <is>
          <t>Critical</t>
        </is>
      </c>
      <c r="Q12" s="2" t="inlineStr">
        <is>
          <t>FluentBit Log Filter Config &amp; Datadog Query Log</t>
        </is>
      </c>
      <c r="R12" s="2" t="inlineStr">
        <is>
          <t>EVID-019</t>
        </is>
      </c>
      <c r="S12" s="2" t="inlineStr">
        <is>
          <t>Yes</t>
        </is>
      </c>
      <c r="T12" s="2" t="inlineStr">
        <is>
          <t>Pass</t>
        </is>
      </c>
      <c r="U12" s="2" t="inlineStr">
        <is>
          <t>2026-08-04</t>
        </is>
      </c>
      <c r="V12" s="2">
        <f>IF(U12&lt;&gt;"", U12-M12, TODAY()-M12)</f>
        <v/>
      </c>
      <c r="W12" s="2">
        <f>IF(AND(O12&lt;&gt;"Closed", O12&lt;&gt;"Risk Accepted", TODAY()&gt;N12), "OVERDUE", "OK")</f>
        <v/>
      </c>
    </row>
    <row r="13">
      <c r="A13" s="2" t="inlineStr">
        <is>
          <t>FIND-012</t>
        </is>
      </c>
      <c r="B13" s="2" t="inlineStr">
        <is>
          <t>Missing Rate Limiting on Mobile OTP Verification API Endpoint</t>
        </is>
      </c>
      <c r="C13" s="2" t="inlineStr">
        <is>
          <t>Mobile auth endpoint /api/v1/auth/otp-verify lacked rate limiting allowing brute-force attempts.</t>
        </is>
      </c>
      <c r="D13" s="2" t="inlineStr">
        <is>
          <t>Pentest</t>
        </is>
      </c>
      <c r="E13" s="2" t="inlineStr">
        <is>
          <t>RISK-009</t>
        </is>
      </c>
      <c r="F13" s="2" t="inlineStr">
        <is>
          <t>CTRL-038</t>
        </is>
      </c>
      <c r="G13" s="2" t="inlineStr">
        <is>
          <t>High</t>
        </is>
      </c>
      <c r="H13" s="2" t="inlineStr">
        <is>
          <t>Risk of mobile account takeover via OTP brute forcing.</t>
        </is>
      </c>
      <c r="I13" s="2" t="inlineStr">
        <is>
          <t>Rate limiting plugin omitted on auth route configuration.</t>
        </is>
      </c>
      <c r="J13" s="2" t="inlineStr">
        <is>
          <t>Apply Redis rate-limiting plugin (3 attempts/min) on OTP route.</t>
        </is>
      </c>
      <c r="K13" s="2" t="inlineStr">
        <is>
          <t>Vikram Malhotra</t>
        </is>
      </c>
      <c r="L13" s="2" t="inlineStr">
        <is>
          <t>Engineering</t>
        </is>
      </c>
      <c r="M13" s="2" t="inlineStr">
        <is>
          <t>2026-07-25</t>
        </is>
      </c>
      <c r="N13" s="2" t="inlineStr">
        <is>
          <t>2026-08-10</t>
        </is>
      </c>
      <c r="O13" s="2" t="inlineStr">
        <is>
          <t>Closed</t>
        </is>
      </c>
      <c r="P13" s="2" t="inlineStr">
        <is>
          <t>High</t>
        </is>
      </c>
      <c r="Q13" s="2" t="inlineStr">
        <is>
          <t>Kong Rate Limiting Plugin Configuration</t>
        </is>
      </c>
      <c r="R13" s="2" t="inlineStr">
        <is>
          <t>EVID-038</t>
        </is>
      </c>
      <c r="S13" s="2" t="inlineStr">
        <is>
          <t>Yes</t>
        </is>
      </c>
      <c r="T13" s="2" t="inlineStr">
        <is>
          <t>Pass</t>
        </is>
      </c>
      <c r="U13" s="2" t="inlineStr">
        <is>
          <t>2026-08-08</t>
        </is>
      </c>
      <c r="V13" s="2">
        <f>IF(U13&lt;&gt;"", U13-M13, TODAY()-M13)</f>
        <v/>
      </c>
      <c r="W13" s="2">
        <f>IF(AND(O13&lt;&gt;"Closed", O13&lt;&gt;"Risk Accepted", TODAY()&gt;N13), "OVERDUE", "OK")</f>
        <v/>
      </c>
    </row>
    <row r="14">
      <c r="A14" s="2" t="inlineStr">
        <is>
          <t>FIND-013</t>
        </is>
      </c>
      <c r="B14" s="2" t="inlineStr">
        <is>
          <t>Kyverno Container Security Policy Engine Configured in Audit-Only Mode</t>
        </is>
      </c>
      <c r="C14" s="2" t="inlineStr">
        <is>
          <t>Kyverno policy engine on EKS failed to block root container deployments because mode was set to 'Audit'.</t>
        </is>
      </c>
      <c r="D14" s="2" t="inlineStr">
        <is>
          <t>Control Testing</t>
        </is>
      </c>
      <c r="E14" s="2" t="inlineStr">
        <is>
          <t>RISK-017</t>
        </is>
      </c>
      <c r="F14" s="2" t="inlineStr">
        <is>
          <t>CTRL-044</t>
        </is>
      </c>
      <c r="G14" s="2" t="inlineStr">
        <is>
          <t>Medium</t>
        </is>
      </c>
      <c r="H14" s="2" t="inlineStr">
        <is>
          <t>Containers running as root could execute host privilege escalation.</t>
        </is>
      </c>
      <c r="I14" s="2" t="inlineStr">
        <is>
          <t>Deployment policy mode not switched to 'Enforce'.</t>
        </is>
      </c>
      <c r="J14" s="2" t="inlineStr">
        <is>
          <t>Update Kyverno cluster policy validation failure action to 'Enforce'.</t>
        </is>
      </c>
      <c r="K14" s="2" t="inlineStr">
        <is>
          <t>Amit Patel</t>
        </is>
      </c>
      <c r="L14" s="2" t="inlineStr">
        <is>
          <t>DevOps</t>
        </is>
      </c>
      <c r="M14" s="2" t="inlineStr">
        <is>
          <t>2026-07-28</t>
        </is>
      </c>
      <c r="N14" s="2" t="inlineStr">
        <is>
          <t>2026-08-12</t>
        </is>
      </c>
      <c r="O14" s="2" t="inlineStr">
        <is>
          <t>In Progress</t>
        </is>
      </c>
      <c r="P14" s="2" t="inlineStr">
        <is>
          <t>Medium</t>
        </is>
      </c>
      <c r="Q14" s="2" t="inlineStr">
        <is>
          <t>Kyverno ClusterPolicy YAML Manifest</t>
        </is>
      </c>
      <c r="R14" s="2" t="inlineStr">
        <is>
          <t>Pending</t>
        </is>
      </c>
      <c r="S14" s="2" t="inlineStr">
        <is>
          <t>Yes</t>
        </is>
      </c>
      <c r="T14" s="2" t="inlineStr">
        <is>
          <t>Pending</t>
        </is>
      </c>
      <c r="U14" s="2" t="inlineStr"/>
      <c r="V14" s="2">
        <f>IF(U14&lt;&gt;"", U14-M14, TODAY()-M14)</f>
        <v/>
      </c>
      <c r="W14" s="2">
        <f>IF(AND(O14&lt;&gt;"Closed", O14&lt;&gt;"Risk Accepted", TODAY()&gt;N14), "OVERDUE", "OK")</f>
        <v/>
      </c>
    </row>
    <row r="15">
      <c r="A15" s="2" t="inlineStr">
        <is>
          <t>FIND-014</t>
        </is>
      </c>
      <c r="B15" s="2" t="inlineStr">
        <is>
          <t>AWS KMS Customer Managed Key Policy Allowed Broad Decryption Access</t>
        </is>
      </c>
      <c r="C15" s="2" t="inlineStr">
        <is>
          <t>KMS CMK used for KYC scans had policy granting kms:Decrypt to all authenticated IAM roles in account.</t>
        </is>
      </c>
      <c r="D15" s="2" t="inlineStr">
        <is>
          <t>Cloud Audit</t>
        </is>
      </c>
      <c r="E15" s="2" t="inlineStr">
        <is>
          <t>RISK-020</t>
        </is>
      </c>
      <c r="F15" s="2" t="inlineStr">
        <is>
          <t>CTRL-010</t>
        </is>
      </c>
      <c r="G15" s="2" t="inlineStr">
        <is>
          <t>High</t>
        </is>
      </c>
      <c r="H15" s="2" t="inlineStr">
        <is>
          <t>Unauthorized internal IAM principals could decrypt customer KYC documents.</t>
        </is>
      </c>
      <c r="I15" s="2" t="inlineStr">
        <is>
          <t>Default KMS key policy used during setup.</t>
        </is>
      </c>
      <c r="J15" s="2" t="inlineStr">
        <is>
          <t>Restrict KMS key policy to specific KYC microservice IAM execution role.</t>
        </is>
      </c>
      <c r="K15" s="2" t="inlineStr">
        <is>
          <t>Anil Mehta</t>
        </is>
      </c>
      <c r="L15" s="2" t="inlineStr">
        <is>
          <t>Cloud Ops</t>
        </is>
      </c>
      <c r="M15" s="2" t="inlineStr">
        <is>
          <t>2026-07-30</t>
        </is>
      </c>
      <c r="N15" s="2" t="inlineStr">
        <is>
          <t>2026-08-15</t>
        </is>
      </c>
      <c r="O15" s="2" t="inlineStr">
        <is>
          <t>In Progress</t>
        </is>
      </c>
      <c r="P15" s="2" t="inlineStr">
        <is>
          <t>High</t>
        </is>
      </c>
      <c r="Q15" s="2" t="inlineStr">
        <is>
          <t>AWS KMS Key Policy JSON Document</t>
        </is>
      </c>
      <c r="R15" s="2" t="inlineStr">
        <is>
          <t>Pending</t>
        </is>
      </c>
      <c r="S15" s="2" t="inlineStr">
        <is>
          <t>Yes</t>
        </is>
      </c>
      <c r="T15" s="2" t="inlineStr">
        <is>
          <t>Pending</t>
        </is>
      </c>
      <c r="U15" s="2" t="inlineStr"/>
      <c r="V15" s="2">
        <f>IF(U15&lt;&gt;"", U15-M15, TODAY()-M15)</f>
        <v/>
      </c>
      <c r="W15" s="2">
        <f>IF(AND(O15&lt;&gt;"Closed", O15&lt;&gt;"Risk Accepted", TODAY()&gt;N15), "OVERDUE", "OK")</f>
        <v/>
      </c>
    </row>
    <row r="16">
      <c r="A16" s="2" t="inlineStr">
        <is>
          <t>FIND-015</t>
        </is>
      </c>
      <c r="B16" s="2" t="inlineStr">
        <is>
          <t>Customer Support Department Access Certification Review Overdue</t>
        </is>
      </c>
      <c r="C16" s="2" t="inlineStr">
        <is>
          <t>Q2 access review for Customer Support department was incomplete &gt;21 days past deadline.</t>
        </is>
      </c>
      <c r="D16" s="2" t="inlineStr">
        <is>
          <t>Control Testing</t>
        </is>
      </c>
      <c r="E16" s="2" t="inlineStr">
        <is>
          <t>RISK-011</t>
        </is>
      </c>
      <c r="F16" s="2" t="inlineStr">
        <is>
          <t>CTRL-006</t>
        </is>
      </c>
      <c r="G16" s="2" t="inlineStr">
        <is>
          <t>Low</t>
        </is>
      </c>
      <c r="H16" s="2" t="inlineStr">
        <is>
          <t>Accumulation of unnecessary user access rights.</t>
        </is>
      </c>
      <c r="I16" s="2" t="inlineStr">
        <is>
          <t>Department manager on extended leave without delegate assigned.</t>
        </is>
      </c>
      <c r="J16" s="2" t="inlineStr">
        <is>
          <t>Assign delegate manager and complete access certification in ConductorOne.</t>
        </is>
      </c>
      <c r="K16" s="2" t="inlineStr">
        <is>
          <t>Suresh Nair</t>
        </is>
      </c>
      <c r="L16" s="2" t="inlineStr">
        <is>
          <t>IT Ops</t>
        </is>
      </c>
      <c r="M16" s="2" t="inlineStr">
        <is>
          <t>2026-07-16</t>
        </is>
      </c>
      <c r="N16" s="2" t="inlineStr">
        <is>
          <t>2026-07-31</t>
        </is>
      </c>
      <c r="O16" s="2" t="inlineStr">
        <is>
          <t>Closed</t>
        </is>
      </c>
      <c r="P16" s="2" t="inlineStr">
        <is>
          <t>Low</t>
        </is>
      </c>
      <c r="Q16" s="2" t="inlineStr">
        <is>
          <t>ConductorOne Access Campaign Sign-off</t>
        </is>
      </c>
      <c r="R16" s="2" t="inlineStr">
        <is>
          <t>EVID-006</t>
        </is>
      </c>
      <c r="S16" s="2" t="inlineStr">
        <is>
          <t>No</t>
        </is>
      </c>
      <c r="T16" s="2" t="inlineStr">
        <is>
          <t>N/A</t>
        </is>
      </c>
      <c r="U16" s="2" t="inlineStr">
        <is>
          <t>2026-07-29</t>
        </is>
      </c>
      <c r="V16" s="2">
        <f>IF(U16&lt;&gt;"", U16-M16, TODAY()-M16)</f>
        <v/>
      </c>
      <c r="W16" s="2">
        <f>IF(AND(O16&lt;&gt;"Closed", O16&lt;&gt;"Risk Accepted", TODAY()&gt;N16), "OVERDUE", "OK")</f>
        <v/>
      </c>
    </row>
    <row r="17">
      <c r="A17" s="2" t="inlineStr">
        <is>
          <t>FIND-016</t>
        </is>
      </c>
      <c r="B17" s="2" t="inlineStr">
        <is>
          <t>AWS KMS Key Annual Auto-Rotation Disabled for Analytics Database Key</t>
        </is>
      </c>
      <c r="C17" s="2" t="inlineStr">
        <is>
          <t>KMS key used for analytics database storage lacked automatic annual rotation setting.</t>
        </is>
      </c>
      <c r="D17" s="2" t="inlineStr">
        <is>
          <t>Control Testing</t>
        </is>
      </c>
      <c r="E17" s="2" t="inlineStr">
        <is>
          <t>RISK-020</t>
        </is>
      </c>
      <c r="F17" s="2" t="inlineStr">
        <is>
          <t>CTRL-010</t>
        </is>
      </c>
      <c r="G17" s="2" t="inlineStr">
        <is>
          <t>Low</t>
        </is>
      </c>
      <c r="H17" s="2" t="inlineStr">
        <is>
          <t>Non-compliance with internal cryptographic policy.</t>
        </is>
      </c>
      <c r="I17" s="2" t="inlineStr">
        <is>
          <t>Key created via AWS CLI without enabling auto-rotation flag.</t>
        </is>
      </c>
      <c r="J17" s="2" t="inlineStr">
        <is>
          <t>Enable annual key rotation setting on target KMS CMK.</t>
        </is>
      </c>
      <c r="K17" s="2" t="inlineStr">
        <is>
          <t>Anil Mehta</t>
        </is>
      </c>
      <c r="L17" s="2" t="inlineStr">
        <is>
          <t>Cloud Ops</t>
        </is>
      </c>
      <c r="M17" s="2" t="inlineStr">
        <is>
          <t>2026-07-21</t>
        </is>
      </c>
      <c r="N17" s="2" t="inlineStr">
        <is>
          <t>2026-08-05</t>
        </is>
      </c>
      <c r="O17" s="2" t="inlineStr">
        <is>
          <t>Closed</t>
        </is>
      </c>
      <c r="P17" s="2" t="inlineStr">
        <is>
          <t>Low</t>
        </is>
      </c>
      <c r="Q17" s="2" t="inlineStr">
        <is>
          <t>AWS KMS Key Property Output</t>
        </is>
      </c>
      <c r="R17" s="2" t="inlineStr">
        <is>
          <t>EVID-010</t>
        </is>
      </c>
      <c r="S17" s="2" t="inlineStr">
        <is>
          <t>No</t>
        </is>
      </c>
      <c r="T17" s="2" t="inlineStr">
        <is>
          <t>N/A</t>
        </is>
      </c>
      <c r="U17" s="2" t="inlineStr">
        <is>
          <t>2026-08-02</t>
        </is>
      </c>
      <c r="V17" s="2">
        <f>IF(U17&lt;&gt;"", U17-M17, TODAY()-M17)</f>
        <v/>
      </c>
      <c r="W17" s="2">
        <f>IF(AND(O17&lt;&gt;"Closed", O17&lt;&gt;"Risk Accepted", TODAY()&gt;N17), "OVERDUE", "OK")</f>
        <v/>
      </c>
    </row>
    <row r="18">
      <c r="A18" s="2" t="inlineStr">
        <is>
          <t>FIND-017</t>
        </is>
      </c>
      <c r="B18" s="2" t="inlineStr">
        <is>
          <t>12 Microservice Database Tables Lacking PII Classification Labels</t>
        </is>
      </c>
      <c r="C18" s="2" t="inlineStr">
        <is>
          <t>PostgreSQL tables containing user email and phone numbers lacked data classification tags in Glue Catalog.</t>
        </is>
      </c>
      <c r="D18" s="2" t="inlineStr">
        <is>
          <t>Control Testing</t>
        </is>
      </c>
      <c r="E18" s="2" t="inlineStr">
        <is>
          <t>RISK-021</t>
        </is>
      </c>
      <c r="F18" s="2" t="inlineStr">
        <is>
          <t>CTRL-011</t>
        </is>
      </c>
      <c r="G18" s="2" t="inlineStr">
        <is>
          <t>Low</t>
        </is>
      </c>
      <c r="H18" s="2" t="inlineStr">
        <is>
          <t>Inaccurate data inventory and risk of improper handling.</t>
        </is>
      </c>
      <c r="I18" s="2" t="inlineStr">
        <is>
          <t>New microservices deployed without updating Glue Data Catalog taxonomy.</t>
        </is>
      </c>
      <c r="J18" s="2" t="inlineStr">
        <is>
          <t>Apply PII classification tags in AWS Glue Data Catalog.</t>
        </is>
      </c>
      <c r="K18" s="2" t="inlineStr">
        <is>
          <t>Deepak Joshi</t>
        </is>
      </c>
      <c r="L18" s="2" t="inlineStr">
        <is>
          <t>DevOps</t>
        </is>
      </c>
      <c r="M18" s="2" t="inlineStr">
        <is>
          <t>2026-07-22</t>
        </is>
      </c>
      <c r="N18" s="2" t="inlineStr">
        <is>
          <t>2026-08-10</t>
        </is>
      </c>
      <c r="O18" s="2" t="inlineStr">
        <is>
          <t>In Progress</t>
        </is>
      </c>
      <c r="P18" s="2" t="inlineStr">
        <is>
          <t>Low</t>
        </is>
      </c>
      <c r="Q18" s="2" t="inlineStr">
        <is>
          <t>Glue Data Catalog Metadata Export</t>
        </is>
      </c>
      <c r="R18" s="2" t="inlineStr">
        <is>
          <t>Pending</t>
        </is>
      </c>
      <c r="S18" s="2" t="inlineStr">
        <is>
          <t>No</t>
        </is>
      </c>
      <c r="T18" s="2" t="inlineStr">
        <is>
          <t>N/A</t>
        </is>
      </c>
      <c r="U18" s="2" t="inlineStr"/>
      <c r="V18" s="2">
        <f>IF(U18&lt;&gt;"", U18-M18, TODAY()-M18)</f>
        <v/>
      </c>
      <c r="W18" s="2">
        <f>IF(AND(O18&lt;&gt;"Closed", O18&lt;&gt;"Risk Accepted", TODAY()&gt;N18), "OVERDUE", "OK")</f>
        <v/>
      </c>
    </row>
    <row r="19">
      <c r="A19" s="2" t="inlineStr">
        <is>
          <t>FIND-018</t>
        </is>
      </c>
      <c r="B19" s="2" t="inlineStr">
        <is>
          <t>4 Legacy Application S3 Log Buckets Lacking Expiration Lifecycle Rules</t>
        </is>
      </c>
      <c r="C19" s="2" t="inlineStr">
        <is>
          <t>S3 buckets storing 2024 application logs lacked lifecycle expiration rules, accumulating indefinitely.</t>
        </is>
      </c>
      <c r="D19" s="2" t="inlineStr">
        <is>
          <t>Control Testing</t>
        </is>
      </c>
      <c r="E19" s="2" t="inlineStr">
        <is>
          <t>RISK-021</t>
        </is>
      </c>
      <c r="F19" s="2" t="inlineStr">
        <is>
          <t>CTRL-012</t>
        </is>
      </c>
      <c r="G19" s="2" t="inlineStr">
        <is>
          <t>Low</t>
        </is>
      </c>
      <c r="H19" s="2" t="inlineStr">
        <is>
          <t>Unnecessary storage costs and data retention compliance risk.</t>
        </is>
      </c>
      <c r="I19" s="2" t="inlineStr">
        <is>
          <t>Buckets created manually without applying standard Terraform storage module.</t>
        </is>
      </c>
      <c r="J19" s="2" t="inlineStr">
        <is>
          <t>Apply S3 lifecycle policy to purge logs after 365 days.</t>
        </is>
      </c>
      <c r="K19" s="2" t="inlineStr">
        <is>
          <t>Anil Mehta</t>
        </is>
      </c>
      <c r="L19" s="2" t="inlineStr">
        <is>
          <t>Cloud Ops</t>
        </is>
      </c>
      <c r="M19" s="2" t="inlineStr">
        <is>
          <t>2026-07-23</t>
        </is>
      </c>
      <c r="N19" s="2" t="inlineStr">
        <is>
          <t>2026-08-10</t>
        </is>
      </c>
      <c r="O19" s="2" t="inlineStr">
        <is>
          <t>Closed</t>
        </is>
      </c>
      <c r="P19" s="2" t="inlineStr">
        <is>
          <t>Low</t>
        </is>
      </c>
      <c r="Q19" s="2" t="inlineStr">
        <is>
          <t>AWS S3 Lifecycle Policy Config</t>
        </is>
      </c>
      <c r="R19" s="2" t="inlineStr">
        <is>
          <t>EVID-012</t>
        </is>
      </c>
      <c r="S19" s="2" t="inlineStr">
        <is>
          <t>No</t>
        </is>
      </c>
      <c r="T19" s="2" t="inlineStr">
        <is>
          <t>N/A</t>
        </is>
      </c>
      <c r="U19" s="2" t="inlineStr">
        <is>
          <t>2026-08-05</t>
        </is>
      </c>
      <c r="V19" s="2">
        <f>IF(U19&lt;&gt;"", U19-M19, TODAY()-M19)</f>
        <v/>
      </c>
      <c r="W19" s="2">
        <f>IF(AND(O19&lt;&gt;"Closed", O19&lt;&gt;"Risk Accepted", TODAY()&gt;N19), "OVERDUE", "OK")</f>
        <v/>
      </c>
    </row>
    <row r="20">
      <c r="A20" s="2" t="inlineStr">
        <is>
          <t>FIND-019</t>
        </is>
      </c>
      <c r="B20" s="2" t="inlineStr">
        <is>
          <t>AWS CloudTrail Secondary Backup Log Trail Lacked Digest File Validation</t>
        </is>
      </c>
      <c r="C20" s="2" t="inlineStr">
        <is>
          <t>Digest file validation was disabled on secondary CloudTrail log backup trail.</t>
        </is>
      </c>
      <c r="D20" s="2" t="inlineStr">
        <is>
          <t>Control Testing</t>
        </is>
      </c>
      <c r="E20" s="2" t="inlineStr">
        <is>
          <t>RISK-018</t>
        </is>
      </c>
      <c r="F20" s="2" t="inlineStr">
        <is>
          <t>CTRL-020</t>
        </is>
      </c>
      <c r="G20" s="2" t="inlineStr">
        <is>
          <t>Low</t>
        </is>
      </c>
      <c r="H20" s="2" t="inlineStr">
        <is>
          <t>Inability to cryptographically prove secondary audit log immutability.</t>
        </is>
      </c>
      <c r="I20" s="2" t="inlineStr">
        <is>
          <t>CloudTrail creation script omitted EnableLogFileValidation parameter.</t>
        </is>
      </c>
      <c r="J20" s="2" t="inlineStr">
        <is>
          <t>Enable log file validation on CloudTrail trail configuration.</t>
        </is>
      </c>
      <c r="K20" s="2" t="inlineStr">
        <is>
          <t>Anil Mehta</t>
        </is>
      </c>
      <c r="L20" s="2" t="inlineStr">
        <is>
          <t>Cloud Ops</t>
        </is>
      </c>
      <c r="M20" s="2" t="inlineStr">
        <is>
          <t>2026-07-30</t>
        </is>
      </c>
      <c r="N20" s="2" t="inlineStr">
        <is>
          <t>2026-08-15</t>
        </is>
      </c>
      <c r="O20" s="2" t="inlineStr">
        <is>
          <t>Closed</t>
        </is>
      </c>
      <c r="P20" s="2" t="inlineStr">
        <is>
          <t>Low</t>
        </is>
      </c>
      <c r="Q20" s="2" t="inlineStr">
        <is>
          <t>AWS CloudTrail Config Description</t>
        </is>
      </c>
      <c r="R20" s="2" t="inlineStr">
        <is>
          <t>EVID-020</t>
        </is>
      </c>
      <c r="S20" s="2" t="inlineStr">
        <is>
          <t>No</t>
        </is>
      </c>
      <c r="T20" s="2" t="inlineStr">
        <is>
          <t>N/A</t>
        </is>
      </c>
      <c r="U20" s="2" t="inlineStr">
        <is>
          <t>2026-08-07</t>
        </is>
      </c>
      <c r="V20" s="2">
        <f>IF(U20&lt;&gt;"", U20-M20, TODAY()-M20)</f>
        <v/>
      </c>
      <c r="W20" s="2">
        <f>IF(AND(O20&lt;&gt;"Closed", O20&lt;&gt;"Risk Accepted", TODAY()&gt;N20), "OVERDUE", "OK")</f>
        <v/>
      </c>
    </row>
    <row r="21">
      <c r="A21" s="2" t="inlineStr">
        <is>
          <t>FIND-020</t>
        </is>
      </c>
      <c r="B21" s="2" t="inlineStr">
        <is>
          <t>RDS Cross-Region Replication Lag Spikes During Peak Payout Operations</t>
        </is>
      </c>
      <c r="C21" s="2" t="inlineStr">
        <is>
          <t>PostgreSQL replication lag to ap-southeast-1 spiked to 48 minutes during daily settlement processing.</t>
        </is>
      </c>
      <c r="D21" s="2" t="inlineStr">
        <is>
          <t>Control Testing</t>
        </is>
      </c>
      <c r="E21" s="2" t="inlineStr">
        <is>
          <t>RISK-026</t>
        </is>
      </c>
      <c r="F21" s="2" t="inlineStr">
        <is>
          <t>CTRL-030</t>
        </is>
      </c>
      <c r="G21" s="2" t="inlineStr">
        <is>
          <t>Medium</t>
        </is>
      </c>
      <c r="H21" s="2" t="inlineStr">
        <is>
          <t>Exceeds defined RPO SLA of 15 minutes during disaster event.</t>
        </is>
      </c>
      <c r="I21" s="2" t="inlineStr">
        <is>
          <t>Secondary read replica instance class (db.r6g.large) sub-sized compared to primary (db.r6g.2xlarge).</t>
        </is>
      </c>
      <c r="J21" s="2" t="inlineStr">
        <is>
          <t>Upgrade secondary read replica instance size to db.r6g.2xlarge.</t>
        </is>
      </c>
      <c r="K21" s="2" t="inlineStr">
        <is>
          <t>Amit Patel</t>
        </is>
      </c>
      <c r="L21" s="2" t="inlineStr">
        <is>
          <t>DevOps</t>
        </is>
      </c>
      <c r="M21" s="2" t="inlineStr">
        <is>
          <t>2026-08-03</t>
        </is>
      </c>
      <c r="N21" s="2" t="inlineStr">
        <is>
          <t>2026-08-18</t>
        </is>
      </c>
      <c r="O21" s="2" t="inlineStr">
        <is>
          <t>In Progress</t>
        </is>
      </c>
      <c r="P21" s="2" t="inlineStr">
        <is>
          <t>Medium</t>
        </is>
      </c>
      <c r="Q21" s="2" t="inlineStr">
        <is>
          <t>AWS RDS Replica Metric Graph</t>
        </is>
      </c>
      <c r="R21" s="2" t="inlineStr">
        <is>
          <t>Pending</t>
        </is>
      </c>
      <c r="S21" s="2" t="inlineStr">
        <is>
          <t>Yes</t>
        </is>
      </c>
      <c r="T21" s="2" t="inlineStr">
        <is>
          <t>Pending</t>
        </is>
      </c>
      <c r="U21" s="2" t="inlineStr"/>
      <c r="V21" s="2">
        <f>IF(U21&lt;&gt;"", U21-M21, TODAY()-M21)</f>
        <v/>
      </c>
      <c r="W21" s="2">
        <f>IF(AND(O21&lt;&gt;"Closed", O21&lt;&gt;"Risk Accepted", TODAY()&gt;N21), "OVERDUE", "OK")</f>
        <v/>
      </c>
    </row>
    <row r="22">
      <c r="A22" s="2" t="inlineStr">
        <is>
          <t>FIND-021</t>
        </is>
      </c>
      <c r="B22" s="2" t="inlineStr">
        <is>
          <t>2 Legacy Settlement Microservice Pods Stored DB Password in Plain Text Env</t>
        </is>
      </c>
      <c r="C22" s="2" t="inlineStr">
        <is>
          <t>Kubernetes pod spec for settlement microservice hardcoded DB password in deployment YAML.</t>
        </is>
      </c>
      <c r="D22" s="2" t="inlineStr">
        <is>
          <t>Control Testing</t>
        </is>
      </c>
      <c r="E22" s="2" t="inlineStr">
        <is>
          <t>RISK-007</t>
        </is>
      </c>
      <c r="F22" s="2" t="inlineStr">
        <is>
          <t>CTRL-039</t>
        </is>
      </c>
      <c r="G22" s="2" t="inlineStr">
        <is>
          <t>High</t>
        </is>
      </c>
      <c r="H22" s="2" t="inlineStr">
        <is>
          <t>Plain text password exposed in Kubernetes API and pod specs.</t>
        </is>
      </c>
      <c r="I22" s="2" t="inlineStr">
        <is>
          <t>Legacy deployment manifest created before Vault introduction.</t>
        </is>
      </c>
      <c r="J22" s="2" t="inlineStr">
        <is>
          <t>Refactor microservice to fetch credentials dynamically from HashiCorp Vault.</t>
        </is>
      </c>
      <c r="K22" s="2" t="inlineStr">
        <is>
          <t>Priya Verma</t>
        </is>
      </c>
      <c r="L22" s="2" t="inlineStr">
        <is>
          <t>DevSecOps</t>
        </is>
      </c>
      <c r="M22" s="2" t="inlineStr">
        <is>
          <t>2026-08-07</t>
        </is>
      </c>
      <c r="N22" s="2" t="inlineStr">
        <is>
          <t>2026-08-22</t>
        </is>
      </c>
      <c r="O22" s="2" t="inlineStr">
        <is>
          <t>In Progress</t>
        </is>
      </c>
      <c r="P22" s="2" t="inlineStr">
        <is>
          <t>High</t>
        </is>
      </c>
      <c r="Q22" s="2" t="inlineStr">
        <is>
          <t>Kubernetes Deployment Manifest &amp; Vault Agent Policy</t>
        </is>
      </c>
      <c r="R22" s="2" t="inlineStr">
        <is>
          <t>Pending</t>
        </is>
      </c>
      <c r="S22" s="2" t="inlineStr">
        <is>
          <t>Yes</t>
        </is>
      </c>
      <c r="T22" s="2" t="inlineStr">
        <is>
          <t>Pending</t>
        </is>
      </c>
      <c r="U22" s="2" t="inlineStr"/>
      <c r="V22" s="2">
        <f>IF(U22&lt;&gt;"", U22-M22, TODAY()-M22)</f>
        <v/>
      </c>
      <c r="W22" s="2">
        <f>IF(AND(O22&lt;&gt;"Closed", O22&lt;&gt;"Risk Accepted", TODAY()&gt;N22), "OVERDUE", "OK")</f>
        <v/>
      </c>
    </row>
    <row r="23">
      <c r="A23" s="2" t="inlineStr">
        <is>
          <t>FIND-022</t>
        </is>
      </c>
      <c r="B23" s="2" t="inlineStr">
        <is>
          <t>Employee Security Awareness Training Completion Rate at 88%</t>
        </is>
      </c>
      <c r="C23" s="2" t="inlineStr">
        <is>
          <t>KnowBe4 training metrics showed 102 employees failed to complete annual security training.</t>
        </is>
      </c>
      <c r="D23" s="2" t="inlineStr">
        <is>
          <t>Control Testing</t>
        </is>
      </c>
      <c r="E23" s="2" t="inlineStr">
        <is>
          <t>RISK-003</t>
        </is>
      </c>
      <c r="F23" s="2" t="inlineStr">
        <is>
          <t>CTRL-047</t>
        </is>
      </c>
      <c r="G23" s="2" t="inlineStr">
        <is>
          <t>Medium</t>
        </is>
      </c>
      <c r="H23" s="2" t="inlineStr">
        <is>
          <t>Increased human vulnerability to phishing attacks.</t>
        </is>
      </c>
      <c r="I23" s="2" t="inlineStr">
        <is>
          <t>Lack of enforcement and manager escalation for overdue training.</t>
        </is>
      </c>
      <c r="J23" s="2" t="inlineStr">
        <is>
          <t>Escalate non-compliant employees to department managers; auto-block Internet access post-deadline.</t>
        </is>
      </c>
      <c r="K23" s="2" t="inlineStr">
        <is>
          <t>Suresh Nair</t>
        </is>
      </c>
      <c r="L23" s="2" t="inlineStr">
        <is>
          <t>IT Ops</t>
        </is>
      </c>
      <c r="M23" s="2" t="inlineStr">
        <is>
          <t>2026-08-08</t>
        </is>
      </c>
      <c r="N23" s="2" t="inlineStr">
        <is>
          <t>2026-08-25</t>
        </is>
      </c>
      <c r="O23" s="2" t="inlineStr">
        <is>
          <t>Open</t>
        </is>
      </c>
      <c r="P23" s="2" t="inlineStr">
        <is>
          <t>Medium</t>
        </is>
      </c>
      <c r="Q23" s="2" t="inlineStr">
        <is>
          <t>KnowBe4 Training Completion Summary</t>
        </is>
      </c>
      <c r="R23" s="2" t="inlineStr">
        <is>
          <t>Pending</t>
        </is>
      </c>
      <c r="S23" s="2" t="inlineStr">
        <is>
          <t>No</t>
        </is>
      </c>
      <c r="T23" s="2" t="inlineStr">
        <is>
          <t>N/A</t>
        </is>
      </c>
      <c r="U23" s="2" t="inlineStr"/>
      <c r="V23" s="2">
        <f>IF(U23&lt;&gt;"", U23-M23, TODAY()-M23)</f>
        <v/>
      </c>
      <c r="W23" s="2">
        <f>IF(AND(O23&lt;&gt;"Closed", O23&lt;&gt;"Risk Accepted", TODAY()&gt;N23), "OVERDUE", 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