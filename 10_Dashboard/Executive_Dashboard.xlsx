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x5 Risk 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16" customWidth="1" min="2" max="2"/>
    <col width="36" customWidth="1" min="3" max="3"/>
    <col width="28" customWidth="1" min="4" max="4"/>
  </cols>
  <sheetData>
    <row r="1">
      <c r="A1" t="inlineStr">
        <is>
          <t>PayNova Technologies Pvt. Ltd. - Executive GRC Dashboard</t>
        </is>
      </c>
      <c r="B1" t="inlineStr"/>
      <c r="C1" t="inlineStr"/>
      <c r="D1" t="inlineStr"/>
    </row>
    <row r="2">
      <c r="A2" t="inlineStr">
        <is>
          <t>Generated Date:</t>
        </is>
      </c>
      <c r="B2" t="inlineStr">
        <is>
          <t>2026-08-08</t>
        </is>
      </c>
      <c r="C2" t="inlineStr">
        <is>
          <t>Target Assessment:</t>
        </is>
      </c>
      <c r="D2" t="inlineStr">
        <is>
          <t>External Audit Readiness</t>
        </is>
      </c>
    </row>
    <row r="3"/>
    <row r="4" ht="28" customHeight="1">
      <c r="A4" s="1" t="inlineStr">
        <is>
          <t>GRC Domain Metric Summary</t>
        </is>
      </c>
      <c r="B4" s="1" t="inlineStr">
        <is>
          <t>Metric Value</t>
        </is>
      </c>
      <c r="C4" s="1" t="inlineStr">
        <is>
          <t>Formula / Source</t>
        </is>
      </c>
      <c r="D4" s="1" t="inlineStr">
        <is>
          <t>Status Indicator</t>
        </is>
      </c>
    </row>
    <row r="5">
      <c r="A5" s="2" t="inlineStr">
        <is>
          <t>Total Enterprise Risks Tracked</t>
        </is>
      </c>
      <c r="B5" s="2" t="n">
        <v>30</v>
      </c>
      <c r="C5" s="2" t="inlineStr">
        <is>
          <t>Risk Register Count</t>
        </is>
      </c>
      <c r="D5" s="2" t="inlineStr">
        <is>
          <t>Active</t>
        </is>
      </c>
    </row>
    <row r="6">
      <c r="A6" s="2" t="inlineStr">
        <is>
          <t>Critical Inherent Risks (Score 17-25)</t>
        </is>
      </c>
      <c r="B6" s="2" t="n">
        <v>10</v>
      </c>
      <c r="C6" s="2" t="inlineStr">
        <is>
          <t>Risk Register (Inherent)</t>
        </is>
      </c>
      <c r="D6" s="2" t="inlineStr">
        <is>
          <t>Requires Treatment</t>
        </is>
      </c>
    </row>
    <row r="7">
      <c r="A7" s="2" t="inlineStr">
        <is>
          <t>Critical Residual Risks (Score 17-25)</t>
        </is>
      </c>
      <c r="B7" s="2" t="n">
        <v>0</v>
      </c>
      <c r="C7" s="2" t="inlineStr">
        <is>
          <t>Risk Register (Residual)</t>
        </is>
      </c>
      <c r="D7" s="2" t="inlineStr">
        <is>
          <t>Zero Critical Residual</t>
        </is>
      </c>
    </row>
    <row r="8">
      <c r="A8" s="2" t="inlineStr">
        <is>
          <t>High Residual Risks (Score 10-16)</t>
        </is>
      </c>
      <c r="B8" s="2" t="n">
        <v>4</v>
      </c>
      <c r="C8" s="2" t="inlineStr">
        <is>
          <t>Risk Register (Residual)</t>
        </is>
      </c>
      <c r="D8" s="2" t="inlineStr">
        <is>
          <t>4 High Residuals</t>
        </is>
      </c>
    </row>
    <row r="9">
      <c r="A9" s="2" t="inlineStr">
        <is>
          <t>Medium Residual Risks (Score 5-9)</t>
        </is>
      </c>
      <c r="B9" s="2" t="n">
        <v>16</v>
      </c>
      <c r="C9" s="2" t="inlineStr">
        <is>
          <t>Risk Register (Residual)</t>
        </is>
      </c>
      <c r="D9" s="2" t="inlineStr">
        <is>
          <t>16 Medium Residuals</t>
        </is>
      </c>
    </row>
    <row r="10">
      <c r="A10" s="2" t="inlineStr">
        <is>
          <t>Low Residual Risks (Score 1-4)</t>
        </is>
      </c>
      <c r="B10" s="2" t="n">
        <v>10</v>
      </c>
      <c r="C10" s="2" t="inlineStr">
        <is>
          <t>Risk Register (Residual)</t>
        </is>
      </c>
      <c r="D10" s="2" t="inlineStr">
        <is>
          <t>10 Low Residuals</t>
        </is>
      </c>
    </row>
    <row r="11">
      <c r="A11" s="2" t="inlineStr">
        <is>
          <t>Total Security Controls in Library</t>
        </is>
      </c>
      <c r="B11" s="2" t="n">
        <v>55</v>
      </c>
      <c r="C11" s="2" t="inlineStr">
        <is>
          <t>Control Library Count</t>
        </is>
      </c>
      <c r="D11" s="2" t="inlineStr">
        <is>
          <t>Active Library</t>
        </is>
      </c>
    </row>
    <row r="12">
      <c r="A12" s="2" t="inlineStr">
        <is>
          <t>Tested Security Controls</t>
        </is>
      </c>
      <c r="B12" s="2" t="n">
        <v>35</v>
      </c>
      <c r="C12" s="2" t="inlineStr">
        <is>
          <t>Control Testing Count</t>
        </is>
      </c>
      <c r="D12" s="2" t="inlineStr">
        <is>
          <t>63.6% Tested</t>
        </is>
      </c>
    </row>
    <row r="13">
      <c r="A13" s="2" t="inlineStr">
        <is>
          <t>Effective Controls Rate (%)</t>
        </is>
      </c>
      <c r="B13" s="2" t="inlineStr">
        <is>
          <t>80.0%</t>
        </is>
      </c>
      <c r="C13" s="2">
        <f>28/35*100</f>
        <v/>
      </c>
      <c r="D13" s="2" t="inlineStr">
        <is>
          <t>Satisfactory</t>
        </is>
      </c>
    </row>
    <row r="14">
      <c r="A14" s="2" t="inlineStr">
        <is>
          <t>Partially Effective Controls Rate (%)</t>
        </is>
      </c>
      <c r="B14" s="2" t="inlineStr">
        <is>
          <t>14.3%</t>
        </is>
      </c>
      <c r="C14" s="2">
        <f>5/35*100</f>
        <v/>
      </c>
      <c r="D14" s="2" t="inlineStr">
        <is>
          <t>Action Required</t>
        </is>
      </c>
    </row>
    <row r="15">
      <c r="A15" s="2" t="inlineStr">
        <is>
          <t>Ineffective Controls Rate (%)</t>
        </is>
      </c>
      <c r="B15" s="2" t="inlineStr">
        <is>
          <t>5.7%</t>
        </is>
      </c>
      <c r="C15" s="2">
        <f>2/35*100</f>
        <v/>
      </c>
      <c r="D15" s="2" t="inlineStr">
        <is>
          <t>High Priority Fix</t>
        </is>
      </c>
    </row>
    <row r="16">
      <c r="A16" s="2" t="inlineStr">
        <is>
          <t>Total Remediation Findings Tracked</t>
        </is>
      </c>
      <c r="B16" s="2" t="n">
        <v>22</v>
      </c>
      <c r="C16" s="2" t="inlineStr">
        <is>
          <t>Remediation Tracker Count</t>
        </is>
      </c>
      <c r="D16" s="2" t="inlineStr">
        <is>
          <t>Active Findings</t>
        </is>
      </c>
    </row>
    <row r="17">
      <c r="A17" s="2" t="inlineStr">
        <is>
          <t>Open / In Progress Remediation Items</t>
        </is>
      </c>
      <c r="B17" s="2" t="n">
        <v>12</v>
      </c>
      <c r="C17" s="2" t="inlineStr">
        <is>
          <t>Remediation Tracker Status</t>
        </is>
      </c>
      <c r="D17" s="2" t="inlineStr">
        <is>
          <t>Under Remediation</t>
        </is>
      </c>
    </row>
    <row r="18">
      <c r="A18" s="2" t="inlineStr">
        <is>
          <t>Closed / Resolved Remediation Items</t>
        </is>
      </c>
      <c r="B18" s="2" t="n">
        <v>10</v>
      </c>
      <c r="C18" s="2" t="inlineStr">
        <is>
          <t>Remediation Tracker Status</t>
        </is>
      </c>
      <c r="D18" s="2" t="inlineStr">
        <is>
          <t>Successfully Closed</t>
        </is>
      </c>
    </row>
    <row r="19">
      <c r="A19" s="2" t="inlineStr">
        <is>
          <t>Overdue Remediation Items</t>
        </is>
      </c>
      <c r="B19" s="2" t="n">
        <v>3</v>
      </c>
      <c r="C19" s="2" t="inlineStr">
        <is>
          <t>Remediation Tracker Overdue Flag</t>
        </is>
      </c>
      <c r="D19" s="2" t="inlineStr">
        <is>
          <t>Overdue SLA Breach</t>
        </is>
      </c>
    </row>
    <row r="20">
      <c r="A20" s="2" t="inlineStr">
        <is>
          <t>Third-Party Vendors Evaluated</t>
        </is>
      </c>
      <c r="B20" s="2" t="n">
        <v>15</v>
      </c>
      <c r="C20" s="2" t="inlineStr">
        <is>
          <t>Vendor Register Count</t>
        </is>
      </c>
      <c r="D20" s="2" t="inlineStr">
        <is>
          <t>Active Vendors</t>
        </is>
      </c>
    </row>
    <row r="21">
      <c r="A21" s="2" t="inlineStr">
        <is>
          <t>High / Critical Risk Vendors</t>
        </is>
      </c>
      <c r="B21" s="2" t="n">
        <v>2</v>
      </c>
      <c r="C21" s="2" t="inlineStr">
        <is>
          <t>Vendor Register Risk Rating</t>
        </is>
      </c>
      <c r="D21" s="2" t="inlineStr">
        <is>
          <t>High Oversight</t>
        </is>
      </c>
    </row>
    <row r="22">
      <c r="A22" s="2" t="inlineStr">
        <is>
          <t>ISO/IEC 27001:2022 Compliance Score</t>
        </is>
      </c>
      <c r="B22" s="2" t="inlineStr">
        <is>
          <t>69.1%</t>
        </is>
      </c>
      <c r="C22" s="2" t="inlineStr">
        <is>
          <t>Compliance Gap Assessment</t>
        </is>
      </c>
      <c r="D22" s="2" t="inlineStr">
        <is>
          <t>Gap Closure Active</t>
        </is>
      </c>
    </row>
    <row r="23">
      <c r="A23" s="2" t="inlineStr">
        <is>
          <t>NIST CSF v2.0 Compliance Score</t>
        </is>
      </c>
      <c r="B23" s="2" t="inlineStr">
        <is>
          <t>72.7%</t>
        </is>
      </c>
      <c r="C23" s="2" t="inlineStr">
        <is>
          <t>Compliance Gap Assessment</t>
        </is>
      </c>
      <c r="D23" s="2" t="inlineStr">
        <is>
          <t>Gap Closure Active</t>
        </is>
      </c>
    </row>
    <row r="24">
      <c r="A24" s="2" t="inlineStr">
        <is>
          <t>SOC 2 Type II Compliance Score</t>
        </is>
      </c>
      <c r="B24" s="2" t="inlineStr">
        <is>
          <t>65.5%</t>
        </is>
      </c>
      <c r="C24" s="2" t="inlineStr">
        <is>
          <t>Compliance Gap Assessment</t>
        </is>
      </c>
      <c r="D24" s="2" t="inlineStr">
        <is>
          <t>Audit Preparation Active</t>
        </is>
      </c>
    </row>
    <row r="25">
      <c r="A25" s="2" t="inlineStr">
        <is>
          <t>Audit Findings Open Rate</t>
        </is>
      </c>
      <c r="B25" s="2" t="inlineStr">
        <is>
          <t>62.5%</t>
        </is>
      </c>
      <c r="C25" s="2" t="inlineStr">
        <is>
          <t>Internal Audit (10/16 Open)</t>
        </is>
      </c>
      <c r="D25" s="2" t="inlineStr">
        <is>
          <t>Under Action Plan</t>
        </is>
      </c>
    </row>
    <row r="26">
      <c r="A26" s="2" t="inlineStr">
        <is>
          <t>Policy Annual Renewal Rate</t>
        </is>
      </c>
      <c r="B26" s="2" t="inlineStr">
        <is>
          <t>100.0%</t>
        </is>
      </c>
      <c r="C26" s="2" t="inlineStr">
        <is>
          <t>Policy Register (22/22 Approved)</t>
        </is>
      </c>
      <c r="D26" s="2" t="inlineStr">
        <is>
          <t>Fully Up To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21" customWidth="1" min="2" max="2"/>
    <col width="13" customWidth="1" min="3" max="3"/>
    <col width="16" customWidth="1" min="4" max="4"/>
    <col width="13" customWidth="1" min="5" max="5"/>
    <col width="14" customWidth="1" min="6" max="6"/>
  </cols>
  <sheetData>
    <row r="1">
      <c r="A1" t="inlineStr">
        <is>
          <t>PayNova 5x5 Inherent vs Residual Risk Heatmap Grid</t>
        </is>
      </c>
      <c r="B1" t="inlineStr"/>
      <c r="C1" t="inlineStr"/>
      <c r="D1" t="inlineStr"/>
      <c r="E1" t="inlineStr"/>
      <c r="F1" t="inlineStr"/>
    </row>
    <row r="2" ht="28" customHeight="1">
      <c r="A2" s="3" t="inlineStr">
        <is>
          <t>Likelihood \ Impact</t>
        </is>
      </c>
      <c r="B2" s="3" t="inlineStr">
        <is>
          <t>1 - Insignificant</t>
        </is>
      </c>
      <c r="C2" s="3" t="inlineStr">
        <is>
          <t>2 - Minor</t>
        </is>
      </c>
      <c r="D2" s="3" t="inlineStr">
        <is>
          <t>3 - Moderate</t>
        </is>
      </c>
      <c r="E2" s="3" t="inlineStr">
        <is>
          <t>4 - Major</t>
        </is>
      </c>
      <c r="F2" s="3" t="inlineStr">
        <is>
          <t>5 - Severe</t>
        </is>
      </c>
    </row>
    <row r="3">
      <c r="A3" s="2" t="inlineStr">
        <is>
          <t>5 - Almost Certain</t>
        </is>
      </c>
      <c r="B3" s="2" t="inlineStr">
        <is>
          <t>0 Low</t>
        </is>
      </c>
      <c r="C3" s="2" t="inlineStr">
        <is>
          <t>0 Low</t>
        </is>
      </c>
      <c r="D3" s="2" t="inlineStr">
        <is>
          <t>1 Med</t>
        </is>
      </c>
      <c r="E3" s="2" t="inlineStr">
        <is>
          <t>2 High</t>
        </is>
      </c>
      <c r="F3" s="2" t="inlineStr">
        <is>
          <t>7 Critical</t>
        </is>
      </c>
    </row>
    <row r="4">
      <c r="A4" s="2" t="inlineStr">
        <is>
          <t>4 - Likely</t>
        </is>
      </c>
      <c r="B4" s="2" t="inlineStr">
        <is>
          <t>0 Low</t>
        </is>
      </c>
      <c r="C4" s="2" t="inlineStr">
        <is>
          <t>1 Med</t>
        </is>
      </c>
      <c r="D4" s="2" t="inlineStr">
        <is>
          <t>1 Med</t>
        </is>
      </c>
      <c r="E4" s="2" t="inlineStr">
        <is>
          <t>6 High</t>
        </is>
      </c>
      <c r="F4" s="2" t="inlineStr">
        <is>
          <t>3 Critical</t>
        </is>
      </c>
    </row>
    <row r="5">
      <c r="A5" s="2" t="inlineStr">
        <is>
          <t>3 - Possible</t>
        </is>
      </c>
      <c r="B5" s="2" t="inlineStr">
        <is>
          <t>0 Low</t>
        </is>
      </c>
      <c r="C5" s="2" t="inlineStr">
        <is>
          <t>0 Low</t>
        </is>
      </c>
      <c r="D5" s="2" t="inlineStr">
        <is>
          <t>0 Med</t>
        </is>
      </c>
      <c r="E5" s="2" t="inlineStr">
        <is>
          <t>2 High</t>
        </is>
      </c>
      <c r="F5" s="2" t="inlineStr">
        <is>
          <t>2 Critical</t>
        </is>
      </c>
    </row>
    <row r="6">
      <c r="A6" s="2" t="inlineStr">
        <is>
          <t>2 - Unlikely</t>
        </is>
      </c>
      <c r="B6" s="2" t="inlineStr">
        <is>
          <t>0 Low</t>
        </is>
      </c>
      <c r="C6" s="2" t="inlineStr">
        <is>
          <t>0 Low</t>
        </is>
      </c>
      <c r="D6" s="2" t="inlineStr">
        <is>
          <t>0 Med</t>
        </is>
      </c>
      <c r="E6" s="2" t="inlineStr">
        <is>
          <t>0 Med</t>
        </is>
      </c>
      <c r="F6" s="2" t="inlineStr">
        <is>
          <t>0 High</t>
        </is>
      </c>
    </row>
    <row r="7">
      <c r="A7" s="2" t="inlineStr">
        <is>
          <t>1 - Rare</t>
        </is>
      </c>
      <c r="B7" s="2" t="inlineStr">
        <is>
          <t>0 Low</t>
        </is>
      </c>
      <c r="C7" s="2" t="inlineStr">
        <is>
          <t>0 Low</t>
        </is>
      </c>
      <c r="D7" s="2" t="inlineStr">
        <is>
          <t>0 Low</t>
        </is>
      </c>
      <c r="E7" s="2" t="inlineStr">
        <is>
          <t>0 Low</t>
        </is>
      </c>
      <c r="F7" s="2" t="inlineStr">
        <is>
          <t>0 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